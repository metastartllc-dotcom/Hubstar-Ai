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1ed2108cd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жил ба ажлын хөлс" sheetId="1" r:id="R91899975d2514efb"/>
    <x:sheet xmlns:r="http://schemas.openxmlformats.org/officeDocument/2006/relationships" name="Материал" sheetId="2" r:id="Rcd8d93e87707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7085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</x:fills>
  <x:borders count="5">
    <x:border/>
    <x:border>
      <x:bottom style="double">
        <x:color rgb="FF17365D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3" fillId="3" borderId="1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200" fontId="0" fillId="4" borderId="2" xfId="0" applyNumberFormat="1" applyFont="1" applyFill="1" applyBorder="1"/>
    <x:xf numFmtId="200" fontId="0" fillId="4" borderId="3" xfId="0" applyNumberFormat="1" applyFont="1" applyFill="1" applyBorder="1"/>
    <x:xf numFmtId="200" fontId="0" fillId="4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/>
    </x:xf>
    <x:xf numFmtId="200" fontId="0" fillId="4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/>
    </x:xf>
    <x:xf numFmtId="200" fontId="0" fillId="4" borderId="4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946c9637a4917" /><Relationship Type="http://schemas.openxmlformats.org/officeDocument/2006/relationships/theme" Target="/xl/theme/theme1.xml" Id="Rd79817c3286a41a2" /><Relationship Type="http://schemas.openxmlformats.org/officeDocument/2006/relationships/sharedStrings" Target="/xl/sharedStrings.xml" Id="Rd5ac0544ccbd45cd" /><Relationship Type="http://schemas.openxmlformats.org/officeDocument/2006/relationships/worksheet" Target="/xl/worksheets/sheet1.xml" Id="R91899975d2514efb" /><Relationship Type="http://schemas.openxmlformats.org/officeDocument/2006/relationships/worksheet" Target="/xl/worksheets/sheet2.xml" Id="Rcd8d93e8770746b5" /></Relationships>
</file>

<file path=xl/tables/table1.xml><?xml version="1.0" encoding="utf-8"?>
<x:table xmlns:x="http://schemas.openxmlformats.org/spreadsheetml/2006/main" id="1" name="LaborCostTable" displayName="LaborCostTable" ref="A7:M78" headerRowCount="1" totalsRowCount="0" totalsRowShown="0">
  <x:tableColumns count="13">
    <x:tableColumn id="1" name="Work ID"/>
    <x:tableColumn id="2" name="№"/>
    <x:tableColumn id="3" name="Ажлын үндсэн нэр"/>
    <x:tableColumn id="4" name="Дэд ажил / тайлбар"/>
    <x:tableColumn id="5" name="Хэм.нэгж"/>
    <x:tableColumn id="6" name="Тоо хэмжээ"/>
    <x:tableColumn id="7" name="Нэгж хөлс"/>
    <x:tableColumn id="8" name="Эхийн нийт хөлс"/>
    <x:tableColumn id="9" name="Тооцсон нийт хөлс"/>
    <x:tableColumn id="10" name="Зөрүү"/>
    <x:tableColumn id="11" name="Эх хуудас"/>
    <x:tableColumn id="12" name="Эх мөр"/>
    <x:tableColumn id="13" name="Төлө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Table" displayName="MaterialTable" ref="A14:N862" headerRowCount="1" totalsRowCount="0" totalsRowShown="0">
  <x:tableColumns count="14">
    <x:tableColumn id="1" name="Material ID"/>
    <x:tableColumn id="2" name="Ангилал / ажил"/>
    <x:tableColumn id="3" name="Материал / тоноглол"/>
    <x:tableColumn id="4" name="Марк / үзүүлэлт"/>
    <x:tableColumn id="5" name="Хэм.нэгж"/>
    <x:tableColumn id="6" name="Тоо хэмжээ"/>
    <x:tableColumn id="7" name="Нэгж үнэ"/>
    <x:tableColumn id="8" name="Эхийн нийт үнэ"/>
    <x:tableColumn id="9" name="Тооцсон нийт үнэ"/>
    <x:tableColumn id="10" name="Зөрүү"/>
    <x:tableColumn id="11" name="Мөрийн төрөл"/>
    <x:tableColumn id="12" name="Төлөв"/>
    <x:tableColumn id="13" name="Эх хуудас"/>
    <x:tableColumn id="14" name="Эх мө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a6192a97cd4f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f5980cb4dd48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" hidden="0" customWidth="1"/>
    <x:col min="3" max="3" width="34" hidden="0" customWidth="1"/>
    <x:col min="4" max="4" width="22" hidden="0" customWidth="1"/>
    <x:col min="5" max="5" width="11" hidden="0" customWidth="1"/>
    <x:col min="6" max="6" width="14" hidden="0" customWidth="1"/>
    <x:col min="7" max="7" width="15" hidden="0" customWidth="1"/>
    <x:col min="8" max="8" width="18" hidden="0" customWidth="1"/>
    <x:col min="9" max="9" width="18" hidden="0" customWidth="1"/>
    <x:col min="10" max="10" width="14" hidden="0" customWidth="1"/>
    <x:col min="11" max="11" width="15" hidden="0" customWidth="1"/>
    <x:col min="12" max="12" width="10" hidden="0" customWidth="1"/>
    <x:col min="13" max="13" width="12" hidden="0" customWidth="1"/>
  </x:cols>
  <x:sheetData>
    <x:row r="1" ht="30" customHeight="1">
      <x:c r="A1" s="4" t="str">
        <x:v>АЛТАЙ ХОТХОН – 6-Р ЭЭЛЖ | АЖИЛ БА АЖЛЫН ХӨЛС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6" t="str">
        <x:v>Эх сурвалж: 6r eeljiin tosov kommisiin tosov.xlsx • Зөвхөн энэ файлаас цэгцэлсэн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9" t="str">
        <x:v>Ажлын мөр</x:v>
      </x:c>
      <x:c r="B4" s="9"/>
      <x:c r="C4" s="9" t="str">
        <x:v>Эхийн нийт хөлс</x:v>
      </x:c>
      <x:c r="D4" s="9"/>
      <x:c r="E4" s="9" t="str">
        <x:v>Тооцсон нийт хөлс</x:v>
      </x:c>
      <x:c r="F4" s="9"/>
      <x:c r="G4" s="9" t="str">
        <x:v>Зөрүү</x:v>
      </x:c>
      <x:c r="H4" s="9"/>
    </x:row>
    <x:row r="5">
      <x:c r="A5" s="12" t="n">
        <x:v>71</x:v>
      </x:c>
      <x:c r="B5" s="12"/>
      <x:c r="C5" s="13" t="n">
        <x:f>SUM(H8:H78)</x:f>
        <x:v>4886072870</x:v>
      </x:c>
      <x:c r="D5" s="13"/>
      <x:c r="E5" s="13" t="n">
        <x:f>SUM(I8:I78)</x:f>
        <x:v>4886072870</x:v>
      </x:c>
      <x:c r="F5" s="13"/>
      <x:c r="G5" s="13" t="n">
        <x:f>E5-C5</x:f>
        <x:v>0</x:v>
      </x:c>
      <x:c r="H5" s="13"/>
    </x:row>
    <x:row r="7">
      <x:c r="A7" s="23" t="str">
        <x:v>Work ID</x:v>
      </x:c>
      <x:c r="B7" s="23" t="str">
        <x:v>№</x:v>
      </x:c>
      <x:c r="C7" s="23" t="str">
        <x:v>Ажлын үндсэн нэр</x:v>
      </x:c>
      <x:c r="D7" s="23" t="str">
        <x:v>Дэд ажил / тайлбар</x:v>
      </x:c>
      <x:c r="E7" s="23" t="str">
        <x:v>Хэм.нэгж</x:v>
      </x:c>
      <x:c r="F7" s="23" t="str">
        <x:v>Тоо хэмжээ</x:v>
      </x:c>
      <x:c r="G7" s="23" t="str">
        <x:v>Нэгж хөлс</x:v>
      </x:c>
      <x:c r="H7" s="23" t="str">
        <x:v>Эхийн нийт хөлс</x:v>
      </x:c>
      <x:c r="I7" s="23" t="str">
        <x:v>Тооцсон нийт хөлс</x:v>
      </x:c>
      <x:c r="J7" s="23" t="str">
        <x:v>Зөрүү</x:v>
      </x:c>
      <x:c r="K7" s="23" t="str">
        <x:v>Эх хуудас</x:v>
      </x:c>
      <x:c r="L7" s="23" t="str">
        <x:v>Эх мөр</x:v>
      </x:c>
      <x:c r="M7" s="23" t="str">
        <x:v>Төлөв</x:v>
      </x:c>
    </x:row>
    <x:row r="8">
      <x:c r="A8" s="32" t="str">
        <x:v>WRK-6R-001</x:v>
      </x:c>
      <x:c r="B8" s="32" t="n">
        <x:v>1</x:v>
      </x:c>
      <x:c r="C8" s="33" t="str">
        <x:v>Угсралт /В1-16-р давхар/</x:v>
      </x:c>
      <x:c r="D8" s="33" t="str"/>
      <x:c r="E8" s="33" t="str">
        <x:v>м2</x:v>
      </x:c>
      <x:c r="F8" s="34" t="n">
        <x:v>10439</x:v>
      </x:c>
      <x:c r="G8" s="34" t="n">
        <x:v>120000</x:v>
      </x:c>
      <x:c r="H8" s="35" t="n">
        <x:v>1252680000</x:v>
      </x:c>
      <x:c r="I8" s="35" t="n">
        <x:f>IF(AND(ISNUMBER(F8),ISNUMBER(G8)),ROUND(F8*G8,0),H8)</x:f>
        <x:v>1252680000</x:v>
      </x:c>
      <x:c r="J8" s="35" t="n">
        <x:f>I8-H8</x:f>
        <x:v>0</x:v>
      </x:c>
      <x:c r="K8" s="32" t="str">
        <x:v>Ajliin hols</x:v>
      </x:c>
      <x:c r="L8" s="32" t="n">
        <x:v>5</x:v>
      </x:c>
      <x:c r="M8" s="32" t="str">
        <x:f>IF(J8=0,"OK","Зөрүүтэй")</x:f>
        <x:v>OK</x:v>
      </x:c>
    </x:row>
    <x:row r="9">
      <x:c r="A9" s="32" t="str">
        <x:v>WRK-6R-002</x:v>
      </x:c>
      <x:c r="B9" s="32" t="n">
        <x:v>2</x:v>
      </x:c>
      <x:c r="C9" s="33" t="str">
        <x:v>Угсралт балкон /1-16-р давхар/</x:v>
      </x:c>
      <x:c r="D9" s="33" t="str"/>
      <x:c r="E9" s="33" t="str">
        <x:v>м2</x:v>
      </x:c>
      <x:c r="F9" s="34" t="n">
        <x:v>214.32</x:v>
      </x:c>
      <x:c r="G9" s="34" t="n">
        <x:v>90000</x:v>
      </x:c>
      <x:c r="H9" s="35" t="n">
        <x:v>19288800</x:v>
      </x:c>
      <x:c r="I9" s="35" t="n">
        <x:f>IF(AND(ISNUMBER(F9),ISNUMBER(G9)),ROUND(F9*G9,0),H9)</x:f>
        <x:v>19288800</x:v>
      </x:c>
      <x:c r="J9" s="35" t="n">
        <x:f>I9-H9</x:f>
        <x:v>0</x:v>
      </x:c>
      <x:c r="K9" s="32" t="str">
        <x:v>Ajliin hols</x:v>
      </x:c>
      <x:c r="L9" s="32" t="n">
        <x:v>6</x:v>
      </x:c>
      <x:c r="M9" s="32" t="str">
        <x:f>IF(J9=0,"OK","Зөрүүтэй")</x:f>
        <x:v>OK</x:v>
      </x:c>
    </x:row>
    <x:row r="10">
      <x:c r="A10" s="32" t="str">
        <x:v>WRK-6R-003</x:v>
      </x:c>
      <x:c r="B10" s="32" t="n">
        <x:v>3</x:v>
      </x:c>
      <x:c r="C10" s="33" t="str">
        <x:v>Угсралт балкон /1-16-р давхар/</x:v>
      </x:c>
      <x:c r="D10" s="33" t="str"/>
      <x:c r="E10" s="33" t="str">
        <x:v>м2</x:v>
      </x:c>
      <x:c r="F10" s="34" t="n">
        <x:v>662.14</x:v>
      </x:c>
      <x:c r="G10" s="34" t="n">
        <x:v>60000</x:v>
      </x:c>
      <x:c r="H10" s="35" t="n">
        <x:v>39728400</x:v>
      </x:c>
      <x:c r="I10" s="35" t="n">
        <x:f>IF(AND(ISNUMBER(F10),ISNUMBER(G10)),ROUND(F10*G10,0),H10)</x:f>
        <x:v>39728400</x:v>
      </x:c>
      <x:c r="J10" s="35" t="n">
        <x:f>I10-H10</x:f>
        <x:v>0</x:v>
      </x:c>
      <x:c r="K10" s="32" t="str">
        <x:v>Ajliin hols</x:v>
      </x:c>
      <x:c r="L10" s="32" t="n">
        <x:v>7</x:v>
      </x:c>
      <x:c r="M10" s="32" t="str">
        <x:f>IF(J10=0,"OK","Зөрүүтэй")</x:f>
        <x:v>OK</x:v>
      </x:c>
    </x:row>
    <x:row r="11">
      <x:c r="A11" s="32" t="str">
        <x:v>WRK-6R-004</x:v>
      </x:c>
      <x:c r="B11" s="32" t="n">
        <x:v>4</x:v>
      </x:c>
      <x:c r="C11" s="33" t="str">
        <x:v>Хиймэл дам нуруу хийх /төмөр хийц/</x:v>
      </x:c>
      <x:c r="D11" s="33" t="str"/>
      <x:c r="E11" s="33" t="str">
        <x:v>дв</x:v>
      </x:c>
      <x:c r="F11" s="34" t="n">
        <x:v>4</x:v>
      </x:c>
      <x:c r="G11" s="34" t="n">
        <x:v>3000000</x:v>
      </x:c>
      <x:c r="H11" s="35" t="n">
        <x:v>12000000</x:v>
      </x:c>
      <x:c r="I11" s="35" t="n">
        <x:f>IF(AND(ISNUMBER(F11),ISNUMBER(G11)),ROUND(F11*G11,0),H11)</x:f>
        <x:v>12000000</x:v>
      </x:c>
      <x:c r="J11" s="35" t="n">
        <x:f>I11-H11</x:f>
        <x:v>0</x:v>
      </x:c>
      <x:c r="K11" s="32" t="str">
        <x:v>Ajliin hols</x:v>
      </x:c>
      <x:c r="L11" s="32" t="n">
        <x:v>8</x:v>
      </x:c>
      <x:c r="M11" s="32" t="str">
        <x:f>IF(J11=0,"OK","Зөрүүтэй")</x:f>
        <x:v>OK</x:v>
      </x:c>
    </x:row>
    <x:row r="12">
      <x:c r="A12" s="32" t="str">
        <x:v>WRK-6R-005</x:v>
      </x:c>
      <x:c r="B12" s="32" t="n">
        <x:v>5</x:v>
      </x:c>
      <x:c r="C12" s="33" t="str">
        <x:v>Гадна фасадны нийт ажил</x:v>
      </x:c>
      <x:c r="D12" s="33" t="str">
        <x:v>Өнгөтэй дулаалга</x:v>
      </x:c>
      <x:c r="E12" s="33" t="str">
        <x:v>м2</x:v>
      </x:c>
      <x:c r="F12" s="34" t="n">
        <x:v>4683.31</x:v>
      </x:c>
      <x:c r="G12" s="34" t="n">
        <x:v>50000</x:v>
      </x:c>
      <x:c r="H12" s="35" t="n">
        <x:v>234165500</x:v>
      </x:c>
      <x:c r="I12" s="35" t="n">
        <x:f>IF(AND(ISNUMBER(F12),ISNUMBER(G12)),ROUND(F12*G12,0),H12)</x:f>
        <x:v>234165500</x:v>
      </x:c>
      <x:c r="J12" s="35" t="n">
        <x:f>I12-H12</x:f>
        <x:v>0</x:v>
      </x:c>
      <x:c r="K12" s="32" t="str">
        <x:v>Ajliin hols</x:v>
      </x:c>
      <x:c r="L12" s="32" t="n">
        <x:v>9</x:v>
      </x:c>
      <x:c r="M12" s="32" t="str">
        <x:f>IF(J12=0,"OK","Зөрүүтэй")</x:f>
        <x:v>OK</x:v>
      </x:c>
    </x:row>
    <x:row r="13">
      <x:c r="A13" s="32" t="str">
        <x:v>WRK-6R-006</x:v>
      </x:c>
      <x:c r="B13" s="32" t="n">
        <x:v>6</x:v>
      </x:c>
      <x:c r="C13" s="33" t="str">
        <x:v>Гадна фасадны нийт ажил</x:v>
      </x:c>
      <x:c r="D13" s="33" t="str">
        <x:v>Өнгөгүй дулаалга</x:v>
      </x:c>
      <x:c r="E13" s="33" t="str">
        <x:v>м2</x:v>
      </x:c>
      <x:c r="F13" s="34" t="n">
        <x:v>1426.41</x:v>
      </x:c>
      <x:c r="G13" s="34" t="n">
        <x:v>40000</x:v>
      </x:c>
      <x:c r="H13" s="35" t="n">
        <x:v>57056400</x:v>
      </x:c>
      <x:c r="I13" s="35" t="n">
        <x:f>IF(AND(ISNUMBER(F13),ISNUMBER(G13)),ROUND(F13*G13,0),H13)</x:f>
        <x:v>57056400</x:v>
      </x:c>
      <x:c r="J13" s="35" t="n">
        <x:f>I13-H13</x:f>
        <x:v>0</x:v>
      </x:c>
      <x:c r="K13" s="32" t="str">
        <x:v>Ajliin hols</x:v>
      </x:c>
      <x:c r="L13" s="32" t="n">
        <x:v>10</x:v>
      </x:c>
      <x:c r="M13" s="32" t="str">
        <x:f>IF(J13=0,"OK","Зөрүүтэй")</x:f>
        <x:v>OK</x:v>
      </x:c>
    </x:row>
    <x:row r="14">
      <x:c r="A14" s="32" t="str">
        <x:v>WRK-6R-007</x:v>
      </x:c>
      <x:c r="B14" s="32" t="n">
        <x:v>7</x:v>
      </x:c>
      <x:c r="C14" s="33" t="str">
        <x:v>Гадна фасадны нийт ажил</x:v>
      </x:c>
      <x:c r="D14" s="33" t="str">
        <x:v>Тэгшилгээ, эмульс</x:v>
      </x:c>
      <x:c r="E14" s="33" t="str"/>
      <x:c r="F14" s="34" t="n">
        <x:v>174.74</x:v>
      </x:c>
      <x:c r="G14" s="34" t="n">
        <x:v>20000</x:v>
      </x:c>
      <x:c r="H14" s="35" t="n">
        <x:v>3494800</x:v>
      </x:c>
      <x:c r="I14" s="35" t="n">
        <x:f>IF(AND(ISNUMBER(F14),ISNUMBER(G14)),ROUND(F14*G14,0),H14)</x:f>
        <x:v>3494800</x:v>
      </x:c>
      <x:c r="J14" s="35" t="n">
        <x:f>I14-H14</x:f>
        <x:v>0</x:v>
      </x:c>
      <x:c r="K14" s="32" t="str">
        <x:v>Ajliin hols</x:v>
      </x:c>
      <x:c r="L14" s="32" t="n">
        <x:v>11</x:v>
      </x:c>
      <x:c r="M14" s="32" t="str">
        <x:f>IF(J14=0,"OK","Зөрүүтэй")</x:f>
        <x:v>OK</x:v>
      </x:c>
    </x:row>
    <x:row r="15">
      <x:c r="A15" s="32" t="str">
        <x:v>WRK-6R-008</x:v>
      </x:c>
      <x:c r="B15" s="32" t="n">
        <x:v>8</x:v>
      </x:c>
      <x:c r="C15" s="33" t="str">
        <x:v>Гадна фасадны нийт ажил</x:v>
      </x:c>
      <x:c r="D15" s="33" t="str">
        <x:v>Гоёлын хөмсөг</x:v>
      </x:c>
      <x:c r="E15" s="33" t="str">
        <x:v>у/м</x:v>
      </x:c>
      <x:c r="F15" s="34" t="n">
        <x:v>286</x:v>
      </x:c>
      <x:c r="G15" s="34" t="n">
        <x:v>15000</x:v>
      </x:c>
      <x:c r="H15" s="35" t="n">
        <x:v>4290000</x:v>
      </x:c>
      <x:c r="I15" s="35" t="n">
        <x:f>IF(AND(ISNUMBER(F15),ISNUMBER(G15)),ROUND(F15*G15,0),H15)</x:f>
        <x:v>4290000</x:v>
      </x:c>
      <x:c r="J15" s="35" t="n">
        <x:f>I15-H15</x:f>
        <x:v>0</x:v>
      </x:c>
      <x:c r="K15" s="32" t="str">
        <x:v>Ajliin hols</x:v>
      </x:c>
      <x:c r="L15" s="32" t="n">
        <x:v>12</x:v>
      </x:c>
      <x:c r="M15" s="32" t="str">
        <x:f>IF(J15=0,"OK","Зөрүүтэй")</x:f>
        <x:v>OK</x:v>
      </x:c>
    </x:row>
    <x:row r="16">
      <x:c r="A16" s="32" t="str">
        <x:v>WRK-6R-009</x:v>
      </x:c>
      <x:c r="B16" s="32" t="n">
        <x:v>9</x:v>
      </x:c>
      <x:c r="C16" s="33" t="str">
        <x:v>Дулаалгатай дээврийн ажил</x:v>
      </x:c>
      <x:c r="D16" s="33" t="str"/>
      <x:c r="E16" s="33" t="str">
        <x:v>м2</x:v>
      </x:c>
      <x:c r="F16" s="34" t="n">
        <x:v>650.34</x:v>
      </x:c>
      <x:c r="G16" s="34" t="n">
        <x:v>45000</x:v>
      </x:c>
      <x:c r="H16" s="35" t="n">
        <x:v>29265300</x:v>
      </x:c>
      <x:c r="I16" s="35" t="n">
        <x:f>IF(AND(ISNUMBER(F16),ISNUMBER(G16)),ROUND(F16*G16,0),H16)</x:f>
        <x:v>29265300</x:v>
      </x:c>
      <x:c r="J16" s="35" t="n">
        <x:f>I16-H16</x:f>
        <x:v>0</x:v>
      </x:c>
      <x:c r="K16" s="32" t="str">
        <x:v>Ajliin hols</x:v>
      </x:c>
      <x:c r="L16" s="32" t="n">
        <x:v>13</x:v>
      </x:c>
      <x:c r="M16" s="32" t="str">
        <x:f>IF(J16=0,"OK","Зөрүүтэй")</x:f>
        <x:v>OK</x:v>
      </x:c>
    </x:row>
    <x:row r="17">
      <x:c r="A17" s="32" t="str">
        <x:v>WRK-6R-010</x:v>
      </x:c>
      <x:c r="B17" s="32" t="n">
        <x:v>10</x:v>
      </x:c>
      <x:c r="C17" s="33" t="str">
        <x:v>Салхивч угсралтын ажил</x:v>
      </x:c>
      <x:c r="D17" s="33" t="str"/>
      <x:c r="E17" s="33" t="str">
        <x:v>ш</x:v>
      </x:c>
      <x:c r="F17" s="34" t="n">
        <x:v>1500</x:v>
      </x:c>
      <x:c r="G17" s="34" t="n">
        <x:v>36000</x:v>
      </x:c>
      <x:c r="H17" s="35" t="n">
        <x:v>54000000</x:v>
      </x:c>
      <x:c r="I17" s="35" t="n">
        <x:f>IF(AND(ISNUMBER(F17),ISNUMBER(G17)),ROUND(F17*G17,0),H17)</x:f>
        <x:v>54000000</x:v>
      </x:c>
      <x:c r="J17" s="35" t="n">
        <x:f>I17-H17</x:f>
        <x:v>0</x:v>
      </x:c>
      <x:c r="K17" s="32" t="str">
        <x:v>Ajliin hols</x:v>
      </x:c>
      <x:c r="L17" s="32" t="n">
        <x:v>14</x:v>
      </x:c>
      <x:c r="M17" s="32" t="str">
        <x:f>IF(J17=0,"OK","Зөрүүтэй")</x:f>
        <x:v>OK</x:v>
      </x:c>
    </x:row>
    <x:row r="18">
      <x:c r="A18" s="32" t="str">
        <x:v>WRK-6R-011</x:v>
      </x:c>
      <x:c r="B18" s="32" t="n">
        <x:v>11</x:v>
      </x:c>
      <x:c r="C18" s="33" t="str">
        <x:v>Салхивч, бохирын нүх цоолох</x:v>
      </x:c>
      <x:c r="D18" s="33" t="str"/>
      <x:c r="E18" s="33" t="str">
        <x:v>ш</x:v>
      </x:c>
      <x:c r="F18" s="34" t="n">
        <x:v>100</x:v>
      </x:c>
      <x:c r="G18" s="34" t="n">
        <x:v>140000</x:v>
      </x:c>
      <x:c r="H18" s="35" t="n">
        <x:v>14000000</x:v>
      </x:c>
      <x:c r="I18" s="35" t="n">
        <x:f>IF(AND(ISNUMBER(F18),ISNUMBER(G18)),ROUND(F18*G18,0),H18)</x:f>
        <x:v>14000000</x:v>
      </x:c>
      <x:c r="J18" s="35" t="n">
        <x:f>I18-H18</x:f>
        <x:v>0</x:v>
      </x:c>
      <x:c r="K18" s="32" t="str">
        <x:v>Ajliin hols</x:v>
      </x:c>
      <x:c r="L18" s="32" t="n">
        <x:v>15</x:v>
      </x:c>
      <x:c r="M18" s="32" t="str">
        <x:f>IF(J18=0,"OK","Зөрүүтэй")</x:f>
        <x:v>OK</x:v>
      </x:c>
    </x:row>
    <x:row r="19">
      <x:c r="A19" s="32" t="str">
        <x:v>WRK-6R-012</x:v>
      </x:c>
      <x:c r="B19" s="32" t="n">
        <x:v>12</x:v>
      </x:c>
      <x:c r="C19" s="33" t="str">
        <x:v>Сантехникийн угсралт</x:v>
      </x:c>
      <x:c r="D19" s="33" t="str"/>
      <x:c r="E19" s="33" t="str">
        <x:v>м2</x:v>
      </x:c>
      <x:c r="F19" s="34" t="n">
        <x:v>10439.7</x:v>
      </x:c>
      <x:c r="G19" s="34" t="n">
        <x:v>25000</x:v>
      </x:c>
      <x:c r="H19" s="35" t="n">
        <x:v>260992500</x:v>
      </x:c>
      <x:c r="I19" s="35" t="n">
        <x:f>IF(AND(ISNUMBER(F19),ISNUMBER(G19)),ROUND(F19*G19,0),H19)</x:f>
        <x:v>260992500</x:v>
      </x:c>
      <x:c r="J19" s="35" t="n">
        <x:f>I19-H19</x:f>
        <x:v>0</x:v>
      </x:c>
      <x:c r="K19" s="32" t="str">
        <x:v>Ajliin hols</x:v>
      </x:c>
      <x:c r="L19" s="32" t="n">
        <x:v>16</x:v>
      </x:c>
      <x:c r="M19" s="32" t="str">
        <x:f>IF(J19=0,"OK","Зөрүүтэй")</x:f>
        <x:v>OK</x:v>
      </x:c>
    </x:row>
    <x:row r="20">
      <x:c r="A20" s="32" t="str">
        <x:v>WRK-6R-013</x:v>
      </x:c>
      <x:c r="B20" s="32" t="n">
        <x:v>13</x:v>
      </x:c>
      <x:c r="C20" s="33" t="str">
        <x:v>УДДТ-ын угсралт /мат+а.хөлс/</x:v>
      </x:c>
      <x:c r="D20" s="33" t="str"/>
      <x:c r="E20" s="33" t="str">
        <x:v>ком</x:v>
      </x:c>
      <x:c r="F20" s="34" t="n">
        <x:v>1</x:v>
      </x:c>
      <x:c r="G20" s="34" t="n">
        <x:v>300000000</x:v>
      </x:c>
      <x:c r="H20" s="35" t="n">
        <x:v>300000000</x:v>
      </x:c>
      <x:c r="I20" s="35" t="n">
        <x:f>IF(AND(ISNUMBER(F20),ISNUMBER(G20)),ROUND(F20*G20,0),H20)</x:f>
        <x:v>300000000</x:v>
      </x:c>
      <x:c r="J20" s="35" t="n">
        <x:f>I20-H20</x:f>
        <x:v>0</x:v>
      </x:c>
      <x:c r="K20" s="32" t="str">
        <x:v>Ajliin hols</x:v>
      </x:c>
      <x:c r="L20" s="32" t="n">
        <x:v>17</x:v>
      </x:c>
      <x:c r="M20" s="32" t="str">
        <x:f>IF(J20=0,"OK","Зөрүүтэй")</x:f>
        <x:v>OK</x:v>
      </x:c>
    </x:row>
    <x:row r="21">
      <x:c r="A21" s="32" t="str">
        <x:v>WRK-6R-014</x:v>
      </x:c>
      <x:c r="B21" s="32" t="n">
        <x:v>14</x:v>
      </x:c>
      <x:c r="C21" s="33" t="str">
        <x:v>ЦБУ-ны яндан өрөмний ажил</x:v>
      </x:c>
      <x:c r="D21" s="33" t="str">
        <x:v>ф117 нүх</x:v>
      </x:c>
      <x:c r="E21" s="33" t="str">
        <x:v>ш</x:v>
      </x:c>
      <x:c r="F21" s="34" t="n">
        <x:v>180</x:v>
      </x:c>
      <x:c r="G21" s="34" t="n">
        <x:v>90000</x:v>
      </x:c>
      <x:c r="H21" s="35" t="n">
        <x:v>16200000</x:v>
      </x:c>
      <x:c r="I21" s="35" t="n">
        <x:f>IF(AND(ISNUMBER(F21),ISNUMBER(G21)),ROUND(F21*G21,0),H21)</x:f>
        <x:v>16200000</x:v>
      </x:c>
      <x:c r="J21" s="35" t="n">
        <x:f>I21-H21</x:f>
        <x:v>0</x:v>
      </x:c>
      <x:c r="K21" s="32" t="str">
        <x:v>Ajliin hols</x:v>
      </x:c>
      <x:c r="L21" s="32" t="n">
        <x:v>18</x:v>
      </x:c>
      <x:c r="M21" s="32" t="str">
        <x:f>IF(J21=0,"OK","Зөрүүтэй")</x:f>
        <x:v>OK</x:v>
      </x:c>
    </x:row>
    <x:row r="22">
      <x:c r="A22" s="32" t="str">
        <x:v>WRK-6R-015</x:v>
      </x:c>
      <x:c r="B22" s="32" t="n">
        <x:v>15</x:v>
      </x:c>
      <x:c r="C22" s="33" t="str">
        <x:v>ЦБУ-ны яндан өрөмний ажил</x:v>
      </x:c>
      <x:c r="D22" s="33" t="str">
        <x:v>ф89 нүх</x:v>
      </x:c>
      <x:c r="E22" s="33" t="str">
        <x:v>ш</x:v>
      </x:c>
      <x:c r="F22" s="34" t="n">
        <x:v>800</x:v>
      </x:c>
      <x:c r="G22" s="34" t="n">
        <x:v>70000</x:v>
      </x:c>
      <x:c r="H22" s="35" t="n">
        <x:v>56000000</x:v>
      </x:c>
      <x:c r="I22" s="35" t="n">
        <x:f>IF(AND(ISNUMBER(F22),ISNUMBER(G22)),ROUND(F22*G22,0),H22)</x:f>
        <x:v>56000000</x:v>
      </x:c>
      <x:c r="J22" s="35" t="n">
        <x:f>I22-H22</x:f>
        <x:v>0</x:v>
      </x:c>
      <x:c r="K22" s="32" t="str">
        <x:v>Ajliin hols</x:v>
      </x:c>
      <x:c r="L22" s="32" t="n">
        <x:v>19</x:v>
      </x:c>
      <x:c r="M22" s="32" t="str">
        <x:f>IF(J22=0,"OK","Зөрүүтэй")</x:f>
        <x:v>OK</x:v>
      </x:c>
    </x:row>
    <x:row r="23">
      <x:c r="A23" s="32" t="str">
        <x:v>WRK-6R-016</x:v>
      </x:c>
      <x:c r="B23" s="32" t="n">
        <x:v>16</x:v>
      </x:c>
      <x:c r="C23" s="33" t="str">
        <x:v>Цахилгааны ажил</x:v>
      </x:c>
      <x:c r="D23" s="33" t="str"/>
      <x:c r="E23" s="33" t="str">
        <x:v>м2</x:v>
      </x:c>
      <x:c r="F23" s="34" t="n">
        <x:v>10439.7</x:v>
      </x:c>
      <x:c r="G23" s="34" t="n">
        <x:v>25000</x:v>
      </x:c>
      <x:c r="H23" s="35" t="n">
        <x:v>260992500</x:v>
      </x:c>
      <x:c r="I23" s="35" t="n">
        <x:f>IF(AND(ISNUMBER(F23),ISNUMBER(G23)),ROUND(F23*G23,0),H23)</x:f>
        <x:v>260992500</x:v>
      </x:c>
      <x:c r="J23" s="35" t="n">
        <x:f>I23-H23</x:f>
        <x:v>0</x:v>
      </x:c>
      <x:c r="K23" s="32" t="str">
        <x:v>Ajliin hols</x:v>
      </x:c>
      <x:c r="L23" s="32" t="n">
        <x:v>20</x:v>
      </x:c>
      <x:c r="M23" s="32" t="str">
        <x:f>IF(J23=0,"OK","Зөрүүтэй")</x:f>
        <x:v>OK</x:v>
      </x:c>
    </x:row>
    <x:row r="24">
      <x:c r="A24" s="32" t="str">
        <x:v>WRK-6R-017</x:v>
      </x:c>
      <x:c r="B24" s="32" t="n">
        <x:v>17</x:v>
      </x:c>
      <x:c r="C24" s="33" t="str">
        <x:v>Галын дохиолол, донофон, гадна холбоо, камер суурилуулалтын ажил</x:v>
      </x:c>
      <x:c r="D24" s="33" t="str"/>
      <x:c r="E24" s="33" t="str">
        <x:v>төг</x:v>
      </x:c>
      <x:c r="F24" s="34" t="n">
        <x:v>10439.7</x:v>
      </x:c>
      <x:c r="G24" s="34" t="n">
        <x:v>5000</x:v>
      </x:c>
      <x:c r="H24" s="35" t="n">
        <x:v>52198500</x:v>
      </x:c>
      <x:c r="I24" s="35" t="n">
        <x:f>IF(AND(ISNUMBER(F24),ISNUMBER(G24)),ROUND(F24*G24,0),H24)</x:f>
        <x:v>52198500</x:v>
      </x:c>
      <x:c r="J24" s="35" t="n">
        <x:f>I24-H24</x:f>
        <x:v>0</x:v>
      </x:c>
      <x:c r="K24" s="32" t="str">
        <x:v>Ajliin hols</x:v>
      </x:c>
      <x:c r="L24" s="32" t="n">
        <x:v>21</x:v>
      </x:c>
      <x:c r="M24" s="32" t="str">
        <x:f>IF(J24=0,"OK","Зөрүүтэй")</x:f>
        <x:v>OK</x:v>
      </x:c>
    </x:row>
    <x:row r="25">
      <x:c r="A25" s="32" t="str">
        <x:v>WRK-6R-018</x:v>
      </x:c>
      <x:c r="B25" s="32" t="n">
        <x:v>18</x:v>
      </x:c>
      <x:c r="C25" s="33" t="str">
        <x:v>Дотор өргийн ажил /200мм/</x:v>
      </x:c>
      <x:c r="D25" s="33" t="str"/>
      <x:c r="E25" s="33" t="str">
        <x:v>м2</x:v>
      </x:c>
      <x:c r="F25" s="34" t="n">
        <x:v>3180</x:v>
      </x:c>
      <x:c r="G25" s="34" t="n">
        <x:v>20000</x:v>
      </x:c>
      <x:c r="H25" s="35" t="n">
        <x:v>63600000</x:v>
      </x:c>
      <x:c r="I25" s="35" t="n">
        <x:f>IF(AND(ISNUMBER(F25),ISNUMBER(G25)),ROUND(F25*G25,0),H25)</x:f>
        <x:v>63600000</x:v>
      </x:c>
      <x:c r="J25" s="35" t="n">
        <x:f>I25-H25</x:f>
        <x:v>0</x:v>
      </x:c>
      <x:c r="K25" s="32" t="str">
        <x:v>Ajliin hols</x:v>
      </x:c>
      <x:c r="L25" s="32" t="n">
        <x:v>22</x:v>
      </x:c>
      <x:c r="M25" s="32" t="str">
        <x:f>IF(J25=0,"OK","Зөрүүтэй")</x:f>
        <x:v>OK</x:v>
      </x:c>
    </x:row>
    <x:row r="26">
      <x:c r="A26" s="32" t="str">
        <x:v>WRK-6R-019</x:v>
      </x:c>
      <x:c r="B26" s="32" t="n">
        <x:v>19</x:v>
      </x:c>
      <x:c r="C26" s="33" t="str">
        <x:v>Дотор ханын шаврийн ажил</x:v>
      </x:c>
      <x:c r="D26" s="33" t="str"/>
      <x:c r="E26" s="33" t="str">
        <x:v>м2</x:v>
      </x:c>
      <x:c r="F26" s="34" t="n">
        <x:v>18870</x:v>
      </x:c>
      <x:c r="G26" s="34" t="n">
        <x:v>20000</x:v>
      </x:c>
      <x:c r="H26" s="35" t="n">
        <x:v>377400000</x:v>
      </x:c>
      <x:c r="I26" s="35" t="n">
        <x:f>IF(AND(ISNUMBER(F26),ISNUMBER(G26)),ROUND(F26*G26,0),H26)</x:f>
        <x:v>377400000</x:v>
      </x:c>
      <x:c r="J26" s="35" t="n">
        <x:f>I26-H26</x:f>
        <x:v>0</x:v>
      </x:c>
      <x:c r="K26" s="32" t="str">
        <x:v>Ajliin hols</x:v>
      </x:c>
      <x:c r="L26" s="32" t="n">
        <x:v>23</x:v>
      </x:c>
      <x:c r="M26" s="32" t="str">
        <x:f>IF(J26=0,"OK","Зөрүүтэй")</x:f>
        <x:v>OK</x:v>
      </x:c>
    </x:row>
    <x:row r="27">
      <x:c r="A27" s="32" t="str">
        <x:v>WRK-6R-020</x:v>
      </x:c>
      <x:c r="B27" s="32" t="n">
        <x:v>20</x:v>
      </x:c>
      <x:c r="C27" s="33" t="str">
        <x:v>Гипсэн хананы ажил</x:v>
      </x:c>
      <x:c r="D27" s="33" t="str">
        <x:v>2 талдаа</x:v>
      </x:c>
      <x:c r="E27" s="33" t="str">
        <x:v>м2</x:v>
      </x:c>
      <x:c r="F27" s="34" t="n">
        <x:v>3740</x:v>
      </x:c>
      <x:c r="G27" s="34" t="n">
        <x:v>24000</x:v>
      </x:c>
      <x:c r="H27" s="35" t="n">
        <x:v>89760000</x:v>
      </x:c>
      <x:c r="I27" s="35" t="n">
        <x:f>IF(AND(ISNUMBER(F27),ISNUMBER(G27)),ROUND(F27*G27,0),H27)</x:f>
        <x:v>89760000</x:v>
      </x:c>
      <x:c r="J27" s="35" t="n">
        <x:f>I27-H27</x:f>
        <x:v>0</x:v>
      </x:c>
      <x:c r="K27" s="32" t="str">
        <x:v>Ajliin hols</x:v>
      </x:c>
      <x:c r="L27" s="32" t="n">
        <x:v>24</x:v>
      </x:c>
      <x:c r="M27" s="32" t="str">
        <x:f>IF(J27=0,"OK","Зөрүүтэй")</x:f>
        <x:v>OK</x:v>
      </x:c>
    </x:row>
    <x:row r="28">
      <x:c r="A28" s="32" t="str">
        <x:v>WRK-6R-021</x:v>
      </x:c>
      <x:c r="B28" s="32" t="n">
        <x:v>21</x:v>
      </x:c>
      <x:c r="C28" s="33" t="str">
        <x:v>Гипсэн хананы ажил</x:v>
      </x:c>
      <x:c r="D28" s="33" t="str">
        <x:v>1 талдаа</x:v>
      </x:c>
      <x:c r="E28" s="33" t="str">
        <x:v>м2</x:v>
      </x:c>
      <x:c r="F28" s="34" t="n">
        <x:v>1450</x:v>
      </x:c>
      <x:c r="G28" s="34" t="n">
        <x:v>20000</x:v>
      </x:c>
      <x:c r="H28" s="35" t="n">
        <x:v>29000000</x:v>
      </x:c>
      <x:c r="I28" s="35" t="n">
        <x:f>IF(AND(ISNUMBER(F28),ISNUMBER(G28)),ROUND(F28*G28,0),H28)</x:f>
        <x:v>29000000</x:v>
      </x:c>
      <x:c r="J28" s="35" t="n">
        <x:f>I28-H28</x:f>
        <x:v>0</x:v>
      </x:c>
      <x:c r="K28" s="32" t="str">
        <x:v>Ajliin hols</x:v>
      </x:c>
      <x:c r="L28" s="32" t="n">
        <x:v>25</x:v>
      </x:c>
      <x:c r="M28" s="32" t="str">
        <x:f>IF(J28=0,"OK","Зөрүүтэй")</x:f>
        <x:v>OK</x:v>
      </x:c>
    </x:row>
    <x:row r="29">
      <x:c r="A29" s="32" t="str">
        <x:v>WRK-6R-022</x:v>
      </x:c>
      <x:c r="B29" s="32" t="n">
        <x:v>22</x:v>
      </x:c>
      <x:c r="C29" s="33" t="str">
        <x:v>Хар шал цутгах ажил</x:v>
      </x:c>
      <x:c r="D29" s="33" t="str"/>
      <x:c r="E29" s="33" t="str">
        <x:v>м2</x:v>
      </x:c>
      <x:c r="F29" s="34" t="n">
        <x:v>8960</x:v>
      </x:c>
      <x:c r="G29" s="34" t="n">
        <x:v>13000</x:v>
      </x:c>
      <x:c r="H29" s="35" t="n">
        <x:v>116480000</x:v>
      </x:c>
      <x:c r="I29" s="35" t="n">
        <x:f>IF(AND(ISNUMBER(F29),ISNUMBER(G29)),ROUND(F29*G29,0),H29)</x:f>
        <x:v>116480000</x:v>
      </x:c>
      <x:c r="J29" s="35" t="n">
        <x:f>I29-H29</x:f>
        <x:v>0</x:v>
      </x:c>
      <x:c r="K29" s="32" t="str">
        <x:v>Ajliin hols</x:v>
      </x:c>
      <x:c r="L29" s="32" t="n">
        <x:v>26</x:v>
      </x:c>
      <x:c r="M29" s="32" t="str">
        <x:f>IF(J29=0,"OK","Зөрүүтэй")</x:f>
        <x:v>OK</x:v>
      </x:c>
    </x:row>
    <x:row r="30">
      <x:c r="A30" s="32" t="str">
        <x:v>WRK-6R-023</x:v>
      </x:c>
      <x:c r="B30" s="32" t="n">
        <x:v>23</x:v>
      </x:c>
      <x:c r="C30" s="33" t="str">
        <x:v>Гипсэн тааз</x:v>
      </x:c>
      <x:c r="D30" s="33" t="str"/>
      <x:c r="E30" s="33" t="str">
        <x:v>м2</x:v>
      </x:c>
      <x:c r="F30" s="34" t="n">
        <x:v>800</x:v>
      </x:c>
      <x:c r="G30" s="34" t="n">
        <x:v>20000</x:v>
      </x:c>
      <x:c r="H30" s="35" t="n">
        <x:v>16000000</x:v>
      </x:c>
      <x:c r="I30" s="35" t="n">
        <x:f>IF(AND(ISNUMBER(F30),ISNUMBER(G30)),ROUND(F30*G30,0),H30)</x:f>
        <x:v>16000000</x:v>
      </x:c>
      <x:c r="J30" s="35" t="n">
        <x:f>I30-H30</x:f>
        <x:v>0</x:v>
      </x:c>
      <x:c r="K30" s="32" t="str">
        <x:v>Ajliin hols</x:v>
      </x:c>
      <x:c r="L30" s="32" t="n">
        <x:v>27</x:v>
      </x:c>
      <x:c r="M30" s="32" t="str">
        <x:f>IF(J30=0,"OK","Зөрүүтэй")</x:f>
        <x:v>OK</x:v>
      </x:c>
    </x:row>
    <x:row r="31">
      <x:c r="A31" s="32" t="str">
        <x:v>WRK-6R-024</x:v>
      </x:c>
      <x:c r="B31" s="32" t="n">
        <x:v>24</x:v>
      </x:c>
      <x:c r="C31" s="33" t="str">
        <x:v>Шатны хонгил</x:v>
      </x:c>
      <x:c r="D31" s="33" t="str">
        <x:v>Марш, нүүр</x:v>
      </x:c>
      <x:c r="E31" s="33" t="str">
        <x:v>м2</x:v>
      </x:c>
      <x:c r="F31" s="34" t="n">
        <x:v>170</x:v>
      </x:c>
      <x:c r="G31" s="34" t="n">
        <x:v>34000</x:v>
      </x:c>
      <x:c r="H31" s="35" t="n">
        <x:v>5780000</x:v>
      </x:c>
      <x:c r="I31" s="35" t="n">
        <x:f>IF(AND(ISNUMBER(F31),ISNUMBER(G31)),ROUND(F31*G31,0),H31)</x:f>
        <x:v>5780000</x:v>
      </x:c>
      <x:c r="J31" s="35" t="n">
        <x:f>I31-H31</x:f>
        <x:v>0</x:v>
      </x:c>
      <x:c r="K31" s="32" t="str">
        <x:v>Ajliin hols</x:v>
      </x:c>
      <x:c r="L31" s="32" t="n">
        <x:v>28</x:v>
      </x:c>
      <x:c r="M31" s="32" t="str">
        <x:f>IF(J31=0,"OK","Зөрүүтэй")</x:f>
        <x:v>OK</x:v>
      </x:c>
    </x:row>
    <x:row r="32">
      <x:c r="A32" s="32" t="str">
        <x:v>WRK-6R-025</x:v>
      </x:c>
      <x:c r="B32" s="32" t="n">
        <x:v>25</x:v>
      </x:c>
      <x:c r="C32" s="33" t="str">
        <x:v>Шатны хонгил</x:v>
      </x:c>
      <x:c r="D32" s="33" t="str">
        <x:v>Тавцан</x:v>
      </x:c>
      <x:c r="E32" s="33" t="str">
        <x:v>м2</x:v>
      </x:c>
      <x:c r="F32" s="34" t="n">
        <x:v>140</x:v>
      </x:c>
      <x:c r="G32" s="34" t="n">
        <x:v>33000</x:v>
      </x:c>
      <x:c r="H32" s="35" t="n">
        <x:v>4620000</x:v>
      </x:c>
      <x:c r="I32" s="35" t="n">
        <x:f>IF(AND(ISNUMBER(F32),ISNUMBER(G32)),ROUND(F32*G32,0),H32)</x:f>
        <x:v>4620000</x:v>
      </x:c>
      <x:c r="J32" s="35" t="n">
        <x:f>I32-H32</x:f>
        <x:v>0</x:v>
      </x:c>
      <x:c r="K32" s="32" t="str">
        <x:v>Ajliin hols</x:v>
      </x:c>
      <x:c r="L32" s="32" t="n">
        <x:v>29</x:v>
      </x:c>
      <x:c r="M32" s="32" t="str">
        <x:f>IF(J32=0,"OK","Зөрүүтэй")</x:f>
        <x:v>OK</x:v>
      </x:c>
    </x:row>
    <x:row r="33">
      <x:c r="A33" s="32" t="str">
        <x:v>WRK-6R-026</x:v>
      </x:c>
      <x:c r="B33" s="32" t="n">
        <x:v>26</x:v>
      </x:c>
      <x:c r="C33" s="33" t="str">
        <x:v>Коридорын чулуу наах ажил</x:v>
      </x:c>
      <x:c r="D33" s="33" t="str"/>
      <x:c r="E33" s="33" t="str">
        <x:v>м2</x:v>
      </x:c>
      <x:c r="F33" s="34" t="n">
        <x:v>1020</x:v>
      </x:c>
      <x:c r="G33" s="34" t="n">
        <x:v>33000</x:v>
      </x:c>
      <x:c r="H33" s="35" t="n">
        <x:v>33660000</x:v>
      </x:c>
      <x:c r="I33" s="35" t="n">
        <x:f>IF(AND(ISNUMBER(F33),ISNUMBER(G33)),ROUND(F33*G33,0),H33)</x:f>
        <x:v>33660000</x:v>
      </x:c>
      <x:c r="J33" s="35" t="n">
        <x:f>I33-H33</x:f>
        <x:v>0</x:v>
      </x:c>
      <x:c r="K33" s="32" t="str">
        <x:v>Ajliin hols</x:v>
      </x:c>
      <x:c r="L33" s="32" t="n">
        <x:v>30</x:v>
      </x:c>
      <x:c r="M33" s="32" t="str">
        <x:f>IF(J33=0,"OK","Зөрүүтэй")</x:f>
        <x:v>OK</x:v>
      </x:c>
    </x:row>
    <x:row r="34">
      <x:c r="A34" s="32" t="str">
        <x:v>WRK-6R-027</x:v>
      </x:c>
      <x:c r="B34" s="32" t="n">
        <x:v>27</x:v>
      </x:c>
      <x:c r="C34" s="33" t="str">
        <x:v>Аваарын шат суулгах</x:v>
      </x:c>
      <x:c r="D34" s="33" t="str"/>
      <x:c r="E34" s="33" t="str">
        <x:v>айл</x:v>
      </x:c>
      <x:c r="F34" s="34" t="n">
        <x:v>80</x:v>
      </x:c>
      <x:c r="G34" s="34" t="n">
        <x:v>30000</x:v>
      </x:c>
      <x:c r="H34" s="35" t="n">
        <x:v>2400000</x:v>
      </x:c>
      <x:c r="I34" s="35" t="n">
        <x:f>IF(AND(ISNUMBER(F34),ISNUMBER(G34)),ROUND(F34*G34,0),H34)</x:f>
        <x:v>2400000</x:v>
      </x:c>
      <x:c r="J34" s="35" t="n">
        <x:f>I34-H34</x:f>
        <x:v>0</x:v>
      </x:c>
      <x:c r="K34" s="32" t="str">
        <x:v>Ajliin hols</x:v>
      </x:c>
      <x:c r="L34" s="32" t="n">
        <x:v>31</x:v>
      </x:c>
      <x:c r="M34" s="32" t="str">
        <x:f>IF(J34=0,"OK","Зөрүүтэй")</x:f>
        <x:v>OK</x:v>
      </x:c>
    </x:row>
    <x:row r="35">
      <x:c r="A35" s="32" t="str">
        <x:v>WRK-6R-028</x:v>
      </x:c>
      <x:c r="B35" s="32" t="n">
        <x:v>28</x:v>
      </x:c>
      <x:c r="C35" s="33" t="str">
        <x:v>АЦӨ-ний хана плита наах</x:v>
      </x:c>
      <x:c r="D35" s="33" t="str"/>
      <x:c r="E35" s="33" t="str">
        <x:v>м2</x:v>
      </x:c>
      <x:c r="F35" s="34" t="n">
        <x:v>3370</x:v>
      </x:c>
      <x:c r="G35" s="34" t="n">
        <x:v>30000</x:v>
      </x:c>
      <x:c r="H35" s="35" t="n">
        <x:v>101100000</x:v>
      </x:c>
      <x:c r="I35" s="35" t="n">
        <x:f>IF(AND(ISNUMBER(F35),ISNUMBER(G35)),ROUND(F35*G35,0),H35)</x:f>
        <x:v>101100000</x:v>
      </x:c>
      <x:c r="J35" s="35" t="n">
        <x:f>I35-H35</x:f>
        <x:v>0</x:v>
      </x:c>
      <x:c r="K35" s="32" t="str">
        <x:v>Ajliin hols</x:v>
      </x:c>
      <x:c r="L35" s="32" t="n">
        <x:v>32</x:v>
      </x:c>
      <x:c r="M35" s="32" t="str">
        <x:f>IF(J35=0,"OK","Зөрүүтэй")</x:f>
        <x:v>OK</x:v>
      </x:c>
    </x:row>
    <x:row r="36">
      <x:c r="A36" s="32" t="str">
        <x:v>WRK-6R-029</x:v>
      </x:c>
      <x:c r="B36" s="32" t="n">
        <x:v>29</x:v>
      </x:c>
      <x:c r="C36" s="33" t="str">
        <x:v>АЦӨ-ний шал плита наах</x:v>
      </x:c>
      <x:c r="D36" s="33" t="str"/>
      <x:c r="E36" s="33" t="str">
        <x:v>м2</x:v>
      </x:c>
      <x:c r="F36" s="34" t="n">
        <x:v>790</x:v>
      </x:c>
      <x:c r="G36" s="34" t="n">
        <x:v>31000</x:v>
      </x:c>
      <x:c r="H36" s="35" t="n">
        <x:v>24490000</x:v>
      </x:c>
      <x:c r="I36" s="35" t="n">
        <x:f>IF(AND(ISNUMBER(F36),ISNUMBER(G36)),ROUND(F36*G36,0),H36)</x:f>
        <x:v>24490000</x:v>
      </x:c>
      <x:c r="J36" s="35" t="n">
        <x:f>I36-H36</x:f>
        <x:v>0</x:v>
      </x:c>
      <x:c r="K36" s="32" t="str">
        <x:v>Ajliin hols</x:v>
      </x:c>
      <x:c r="L36" s="32" t="n">
        <x:v>33</x:v>
      </x:c>
      <x:c r="M36" s="32" t="str">
        <x:f>IF(J36=0,"OK","Зөрүүтэй")</x:f>
        <x:v>OK</x:v>
      </x:c>
    </x:row>
    <x:row r="37">
      <x:c r="A37" s="32" t="str">
        <x:v>WRK-6R-030</x:v>
      </x:c>
      <x:c r="B37" s="32" t="n">
        <x:v>30</x:v>
      </x:c>
      <x:c r="C37" s="33" t="str">
        <x:v>Гал тогооны плита наах ажил</x:v>
      </x:c>
      <x:c r="D37" s="33" t="str"/>
      <x:c r="E37" s="33" t="str">
        <x:v>м2</x:v>
      </x:c>
      <x:c r="F37" s="34" t="n">
        <x:v>380</x:v>
      </x:c>
      <x:c r="G37" s="34" t="n">
        <x:v>30000</x:v>
      </x:c>
      <x:c r="H37" s="35" t="n">
        <x:v>11400000</x:v>
      </x:c>
      <x:c r="I37" s="35" t="n">
        <x:f>IF(AND(ISNUMBER(F37),ISNUMBER(G37)),ROUND(F37*G37,0),H37)</x:f>
        <x:v>11400000</x:v>
      </x:c>
      <x:c r="J37" s="35" t="n">
        <x:f>I37-H37</x:f>
        <x:v>0</x:v>
      </x:c>
      <x:c r="K37" s="32" t="str">
        <x:v>Ajliin hols</x:v>
      </x:c>
      <x:c r="L37" s="32" t="n">
        <x:v>34</x:v>
      </x:c>
      <x:c r="M37" s="32" t="str">
        <x:f>IF(J37=0,"OK","Зөрүүтэй")</x:f>
        <x:v>OK</x:v>
      </x:c>
    </x:row>
    <x:row r="38">
      <x:c r="A38" s="32" t="str">
        <x:v>WRK-6R-031</x:v>
      </x:c>
      <x:c r="B38" s="32" t="n">
        <x:v>31</x:v>
      </x:c>
      <x:c r="C38" s="33" t="str">
        <x:v>Үйлчилгээ шал плита</x:v>
      </x:c>
      <x:c r="D38" s="33" t="str"/>
      <x:c r="E38" s="33" t="str">
        <x:v>м2</x:v>
      </x:c>
      <x:c r="F38" s="34" t="n">
        <x:v>190</x:v>
      </x:c>
      <x:c r="G38" s="34" t="n">
        <x:v>31000</x:v>
      </x:c>
      <x:c r="H38" s="35" t="n">
        <x:v>5890000</x:v>
      </x:c>
      <x:c r="I38" s="35" t="n">
        <x:f>IF(AND(ISNUMBER(F38),ISNUMBER(G38)),ROUND(F38*G38,0),H38)</x:f>
        <x:v>5890000</x:v>
      </x:c>
      <x:c r="J38" s="35" t="n">
        <x:f>I38-H38</x:f>
        <x:v>0</x:v>
      </x:c>
      <x:c r="K38" s="32" t="str">
        <x:v>Ajliin hols</x:v>
      </x:c>
      <x:c r="L38" s="32" t="n">
        <x:v>35</x:v>
      </x:c>
      <x:c r="M38" s="32" t="str">
        <x:f>IF(J38=0,"OK","Зөрүүтэй")</x:f>
        <x:v>OK</x:v>
      </x:c>
    </x:row>
    <x:row r="39">
      <x:c r="A39" s="32" t="str">
        <x:v>WRK-6R-032</x:v>
      </x:c>
      <x:c r="B39" s="32" t="n">
        <x:v>32</x:v>
      </x:c>
      <x:c r="C39" s="33" t="str">
        <x:v>Цонхны тавцан суулгах ажил</x:v>
      </x:c>
      <x:c r="D39" s="33" t="str"/>
      <x:c r="E39" s="33" t="str">
        <x:v>у/м</x:v>
      </x:c>
      <x:c r="F39" s="34" t="n">
        <x:v>890</x:v>
      </x:c>
      <x:c r="G39" s="34" t="n">
        <x:v>11000</x:v>
      </x:c>
      <x:c r="H39" s="35" t="n">
        <x:v>9790000</x:v>
      </x:c>
      <x:c r="I39" s="35" t="n">
        <x:f>IF(AND(ISNUMBER(F39),ISNUMBER(G39)),ROUND(F39*G39,0),H39)</x:f>
        <x:v>9790000</x:v>
      </x:c>
      <x:c r="J39" s="35" t="n">
        <x:f>I39-H39</x:f>
        <x:v>0</x:v>
      </x:c>
      <x:c r="K39" s="32" t="str">
        <x:v>Ajliin hols</x:v>
      </x:c>
      <x:c r="L39" s="32" t="n">
        <x:v>36</x:v>
      </x:c>
      <x:c r="M39" s="32" t="str">
        <x:f>IF(J39=0,"OK","Зөрүүтэй")</x:f>
        <x:v>OK</x:v>
      </x:c>
    </x:row>
    <x:row r="40">
      <x:c r="A40" s="32" t="str">
        <x:v>WRK-6R-033</x:v>
      </x:c>
      <x:c r="B40" s="32" t="n">
        <x:v>33</x:v>
      </x:c>
      <x:c r="C40" s="33" t="str">
        <x:v>Балконы шалны плита /гадна/</x:v>
      </x:c>
      <x:c r="D40" s="33" t="str"/>
      <x:c r="E40" s="33" t="str">
        <x:v>м2</x:v>
      </x:c>
      <x:c r="F40" s="34" t="n">
        <x:v>460</x:v>
      </x:c>
      <x:c r="G40" s="34" t="n">
        <x:v>31000</x:v>
      </x:c>
      <x:c r="H40" s="35" t="n">
        <x:v>14260000</x:v>
      </x:c>
      <x:c r="I40" s="35" t="n">
        <x:f>IF(AND(ISNUMBER(F40),ISNUMBER(G40)),ROUND(F40*G40,0),H40)</x:f>
        <x:v>14260000</x:v>
      </x:c>
      <x:c r="J40" s="35" t="n">
        <x:f>I40-H40</x:f>
        <x:v>0</x:v>
      </x:c>
      <x:c r="K40" s="32" t="str">
        <x:v>Ajliin hols</x:v>
      </x:c>
      <x:c r="L40" s="32" t="n">
        <x:v>37</x:v>
      </x:c>
      <x:c r="M40" s="32" t="str">
        <x:f>IF(J40=0,"OK","Зөрүүтэй")</x:f>
        <x:v>OK</x:v>
      </x:c>
    </x:row>
    <x:row r="41">
      <x:c r="A41" s="32" t="str">
        <x:v>WRK-6R-034</x:v>
      </x:c>
      <x:c r="B41" s="32" t="n">
        <x:v>34</x:v>
      </x:c>
      <x:c r="C41" s="33" t="str">
        <x:v>Гипсэн таазны кнауф</x:v>
      </x:c>
      <x:c r="D41" s="33" t="str"/>
      <x:c r="E41" s="33" t="str">
        <x:v>м2</x:v>
      </x:c>
      <x:c r="F41" s="34" t="n">
        <x:v>800</x:v>
      </x:c>
      <x:c r="G41" s="34" t="n">
        <x:v>1500</x:v>
      </x:c>
      <x:c r="H41" s="35" t="n">
        <x:v>1200000</x:v>
      </x:c>
      <x:c r="I41" s="35" t="n">
        <x:f>IF(AND(ISNUMBER(F41),ISNUMBER(G41)),ROUND(F41*G41,0),H41)</x:f>
        <x:v>1200000</x:v>
      </x:c>
      <x:c r="J41" s="35" t="n">
        <x:f>I41-H41</x:f>
        <x:v>0</x:v>
      </x:c>
      <x:c r="K41" s="32" t="str">
        <x:v>Ajliin hols</x:v>
      </x:c>
      <x:c r="L41" s="32" t="n">
        <x:v>38</x:v>
      </x:c>
      <x:c r="M41" s="32" t="str">
        <x:f>IF(J41=0,"OK","Зөрүүтэй")</x:f>
        <x:v>OK</x:v>
      </x:c>
    </x:row>
    <x:row r="42">
      <x:c r="A42" s="32" t="str">
        <x:v>WRK-6R-035</x:v>
      </x:c>
      <x:c r="B42" s="32" t="n">
        <x:v>35</x:v>
      </x:c>
      <x:c r="C42" s="33" t="str">
        <x:v>Гадна бүргэд хаалга суулгах</x:v>
      </x:c>
      <x:c r="D42" s="33" t="str"/>
      <x:c r="E42" s="33" t="str">
        <x:v>ш</x:v>
      </x:c>
      <x:c r="F42" s="34" t="n">
        <x:v>150</x:v>
      </x:c>
      <x:c r="G42" s="34" t="n">
        <x:v>60000</x:v>
      </x:c>
      <x:c r="H42" s="35" t="n">
        <x:v>9000000</x:v>
      </x:c>
      <x:c r="I42" s="35" t="n">
        <x:f>IF(AND(ISNUMBER(F42),ISNUMBER(G42)),ROUND(F42*G42,0),H42)</x:f>
        <x:v>9000000</x:v>
      </x:c>
      <x:c r="J42" s="35" t="n">
        <x:f>I42-H42</x:f>
        <x:v>0</x:v>
      </x:c>
      <x:c r="K42" s="32" t="str">
        <x:v>Ajliin hols</x:v>
      </x:c>
      <x:c r="L42" s="32" t="n">
        <x:v>39</x:v>
      </x:c>
      <x:c r="M42" s="32" t="str">
        <x:f>IF(J42=0,"OK","Зөрүүтэй")</x:f>
        <x:v>OK</x:v>
      </x:c>
    </x:row>
    <x:row r="43">
      <x:c r="A43" s="32" t="str">
        <x:v>WRK-6R-036</x:v>
      </x:c>
      <x:c r="B43" s="32" t="n">
        <x:v>36</x:v>
      </x:c>
      <x:c r="C43" s="33" t="str">
        <x:v>Таазны тэгшилгээний ажил</x:v>
      </x:c>
      <x:c r="D43" s="33" t="str"/>
      <x:c r="E43" s="33" t="str">
        <x:v>м2</x:v>
      </x:c>
      <x:c r="F43" s="34" t="n">
        <x:v>7700</x:v>
      </x:c>
      <x:c r="G43" s="34" t="n">
        <x:v>10000</x:v>
      </x:c>
      <x:c r="H43" s="35" t="n">
        <x:v>77000000</x:v>
      </x:c>
      <x:c r="I43" s="35" t="n">
        <x:f>IF(AND(ISNUMBER(F43),ISNUMBER(G43)),ROUND(F43*G43,0),H43)</x:f>
        <x:v>77000000</x:v>
      </x:c>
      <x:c r="J43" s="35" t="n">
        <x:f>I43-H43</x:f>
        <x:v>0</x:v>
      </x:c>
      <x:c r="K43" s="32" t="str">
        <x:v>Ajliin hols</x:v>
      </x:c>
      <x:c r="L43" s="32" t="n">
        <x:v>40</x:v>
      </x:c>
      <x:c r="M43" s="32" t="str">
        <x:f>IF(J43=0,"OK","Зөрүүтэй")</x:f>
        <x:v>OK</x:v>
      </x:c>
    </x:row>
    <x:row r="44">
      <x:c r="A44" s="32" t="str">
        <x:v>WRK-6R-037</x:v>
      </x:c>
      <x:c r="B44" s="32" t="n">
        <x:v>37</x:v>
      </x:c>
      <x:c r="C44" s="33" t="str">
        <x:v>Таазны цагаан замасканы ажил</x:v>
      </x:c>
      <x:c r="D44" s="33" t="str"/>
      <x:c r="E44" s="33" t="str">
        <x:v>м2</x:v>
      </x:c>
      <x:c r="F44" s="34" t="n">
        <x:v>8100</x:v>
      </x:c>
      <x:c r="G44" s="34" t="n">
        <x:v>7000</x:v>
      </x:c>
      <x:c r="H44" s="35" t="n">
        <x:v>56700000</x:v>
      </x:c>
      <x:c r="I44" s="35" t="n">
        <x:f>IF(AND(ISNUMBER(F44),ISNUMBER(G44)),ROUND(F44*G44,0),H44)</x:f>
        <x:v>56700000</x:v>
      </x:c>
      <x:c r="J44" s="35" t="n">
        <x:f>I44-H44</x:f>
        <x:v>0</x:v>
      </x:c>
      <x:c r="K44" s="32" t="str">
        <x:v>Ajliin hols</x:v>
      </x:c>
      <x:c r="L44" s="32" t="n">
        <x:v>41</x:v>
      </x:c>
      <x:c r="M44" s="32" t="str">
        <x:f>IF(J44=0,"OK","Зөрүүтэй")</x:f>
        <x:v>OK</x:v>
      </x:c>
    </x:row>
    <x:row r="45">
      <x:c r="A45" s="32" t="str">
        <x:v>WRK-6R-038</x:v>
      </x:c>
      <x:c r="B45" s="32" t="n">
        <x:v>38</x:v>
      </x:c>
      <x:c r="C45" s="33" t="str">
        <x:v>Таазны замаска зүлгүүр</x:v>
      </x:c>
      <x:c r="D45" s="33" t="str"/>
      <x:c r="E45" s="33" t="str">
        <x:v>м2</x:v>
      </x:c>
      <x:c r="F45" s="34" t="n">
        <x:v>8100</x:v>
      </x:c>
      <x:c r="G45" s="34" t="n">
        <x:v>2000</x:v>
      </x:c>
      <x:c r="H45" s="35" t="n">
        <x:v>16200000</x:v>
      </x:c>
      <x:c r="I45" s="35" t="n">
        <x:f>IF(AND(ISNUMBER(F45),ISNUMBER(G45)),ROUND(F45*G45,0),H45)</x:f>
        <x:v>16200000</x:v>
      </x:c>
      <x:c r="J45" s="35" t="n">
        <x:f>I45-H45</x:f>
        <x:v>0</x:v>
      </x:c>
      <x:c r="K45" s="32" t="str">
        <x:v>Ajliin hols</x:v>
      </x:c>
      <x:c r="L45" s="32" t="n">
        <x:v>42</x:v>
      </x:c>
      <x:c r="M45" s="32" t="str">
        <x:f>IF(J45=0,"OK","Зөрүүтэй")</x:f>
        <x:v>OK</x:v>
      </x:c>
    </x:row>
    <x:row r="46">
      <x:c r="A46" s="32" t="str">
        <x:v>WRK-6R-039</x:v>
      </x:c>
      <x:c r="B46" s="32" t="n">
        <x:v>39</x:v>
      </x:c>
      <x:c r="C46" s="33" t="str">
        <x:v>Цонхны амалгаа</x:v>
      </x:c>
      <x:c r="D46" s="33" t="str"/>
      <x:c r="E46" s="33" t="str">
        <x:v>ш</x:v>
      </x:c>
      <x:c r="F46" s="34" t="n">
        <x:v>480</x:v>
      </x:c>
      <x:c r="G46" s="34" t="n">
        <x:v>22000</x:v>
      </x:c>
      <x:c r="H46" s="35" t="n">
        <x:v>10560000</x:v>
      </x:c>
      <x:c r="I46" s="35" t="n">
        <x:f>IF(AND(ISNUMBER(F46),ISNUMBER(G46)),ROUND(F46*G46,0),H46)</x:f>
        <x:v>10560000</x:v>
      </x:c>
      <x:c r="J46" s="35" t="n">
        <x:f>I46-H46</x:f>
        <x:v>0</x:v>
      </x:c>
      <x:c r="K46" s="32" t="str">
        <x:v>Ajliin hols</x:v>
      </x:c>
      <x:c r="L46" s="32" t="n">
        <x:v>43</x:v>
      </x:c>
      <x:c r="M46" s="32" t="str">
        <x:f>IF(J46=0,"OK","Зөрүүтэй")</x:f>
        <x:v>OK</x:v>
      </x:c>
    </x:row>
    <x:row r="47">
      <x:c r="A47" s="32" t="str">
        <x:v>WRK-6R-040</x:v>
      </x:c>
      <x:c r="B47" s="32" t="n">
        <x:v>40</x:v>
      </x:c>
      <x:c r="C47" s="33" t="str">
        <x:v>Бүргэд хаалга амалгаа</x:v>
      </x:c>
      <x:c r="D47" s="33" t="str"/>
      <x:c r="E47" s="33" t="str">
        <x:v>ш</x:v>
      </x:c>
      <x:c r="F47" s="34" t="n">
        <x:v>150</x:v>
      </x:c>
      <x:c r="G47" s="34" t="n">
        <x:v>22000</x:v>
      </x:c>
      <x:c r="H47" s="35" t="n">
        <x:v>3300000</x:v>
      </x:c>
      <x:c r="I47" s="35" t="n">
        <x:f>IF(AND(ISNUMBER(F47),ISNUMBER(G47)),ROUND(F47*G47,0),H47)</x:f>
        <x:v>3300000</x:v>
      </x:c>
      <x:c r="J47" s="35" t="n">
        <x:f>I47-H47</x:f>
        <x:v>0</x:v>
      </x:c>
      <x:c r="K47" s="32" t="str">
        <x:v>Ajliin hols</x:v>
      </x:c>
      <x:c r="L47" s="32" t="n">
        <x:v>44</x:v>
      </x:c>
      <x:c r="M47" s="32" t="str">
        <x:f>IF(J47=0,"OK","Зөрүүтэй")</x:f>
        <x:v>OK</x:v>
      </x:c>
    </x:row>
    <x:row r="48">
      <x:c r="A48" s="32" t="str">
        <x:v>WRK-6R-041</x:v>
      </x:c>
      <x:c r="B48" s="32" t="n">
        <x:v>41</x:v>
      </x:c>
      <x:c r="C48" s="33" t="str">
        <x:v>Хананы цагаан замасканы ажил</x:v>
      </x:c>
      <x:c r="D48" s="33" t="str">
        <x:v>Гипсэн хана</x:v>
      </x:c>
      <x:c r="E48" s="33" t="str">
        <x:v>м2</x:v>
      </x:c>
      <x:c r="F48" s="34" t="n">
        <x:v>7200</x:v>
      </x:c>
      <x:c r="G48" s="34" t="n">
        <x:v>8000</x:v>
      </x:c>
      <x:c r="H48" s="35" t="n">
        <x:v>57600000</x:v>
      </x:c>
      <x:c r="I48" s="35" t="n">
        <x:f>IF(AND(ISNUMBER(F48),ISNUMBER(G48)),ROUND(F48*G48,0),H48)</x:f>
        <x:v>57600000</x:v>
      </x:c>
      <x:c r="J48" s="35" t="n">
        <x:f>I48-H48</x:f>
        <x:v>0</x:v>
      </x:c>
      <x:c r="K48" s="32" t="str">
        <x:v>Ajliin hols</x:v>
      </x:c>
      <x:c r="L48" s="32" t="n">
        <x:v>45</x:v>
      </x:c>
      <x:c r="M48" s="32" t="str">
        <x:f>IF(J48=0,"OK","Зөрүүтэй")</x:f>
        <x:v>OK</x:v>
      </x:c>
    </x:row>
    <x:row r="49">
      <x:c r="A49" s="32" t="str">
        <x:v>WRK-6R-042</x:v>
      </x:c>
      <x:c r="B49" s="32" t="n">
        <x:v>42</x:v>
      </x:c>
      <x:c r="C49" s="33" t="str">
        <x:v>Хананы цагаан замасканы ажил</x:v>
      </x:c>
      <x:c r="D49" s="33" t="str">
        <x:v>Шавар хана</x:v>
      </x:c>
      <x:c r="E49" s="33" t="str">
        <x:v>м2</x:v>
      </x:c>
      <x:c r="F49" s="34" t="n">
        <x:v>16000</x:v>
      </x:c>
      <x:c r="G49" s="34" t="n">
        <x:v>7000</x:v>
      </x:c>
      <x:c r="H49" s="35" t="n">
        <x:v>112000000</x:v>
      </x:c>
      <x:c r="I49" s="35" t="n">
        <x:f>IF(AND(ISNUMBER(F49),ISNUMBER(G49)),ROUND(F49*G49,0),H49)</x:f>
        <x:v>112000000</x:v>
      </x:c>
      <x:c r="J49" s="35" t="n">
        <x:f>I49-H49</x:f>
        <x:v>0</x:v>
      </x:c>
      <x:c r="K49" s="32" t="str">
        <x:v>Ajliin hols</x:v>
      </x:c>
      <x:c r="L49" s="32" t="n">
        <x:v>46</x:v>
      </x:c>
      <x:c r="M49" s="32" t="str">
        <x:f>IF(J49=0,"OK","Зөрүүтэй")</x:f>
        <x:v>OK</x:v>
      </x:c>
    </x:row>
    <x:row r="50">
      <x:c r="A50" s="32" t="str">
        <x:v>WRK-6R-043</x:v>
      </x:c>
      <x:c r="B50" s="32" t="n">
        <x:v>43</x:v>
      </x:c>
      <x:c r="C50" s="33" t="str">
        <x:v>Лифтний гоёлын амалгаа хийх</x:v>
      </x:c>
      <x:c r="D50" s="33" t="str"/>
      <x:c r="E50" s="33" t="str">
        <x:v>ш</x:v>
      </x:c>
      <x:c r="F50" s="34" t="n">
        <x:v>34</x:v>
      </x:c>
      <x:c r="G50" s="34" t="n">
        <x:v>120000</x:v>
      </x:c>
      <x:c r="H50" s="35" t="n">
        <x:v>4080000</x:v>
      </x:c>
      <x:c r="I50" s="35" t="n">
        <x:f>IF(AND(ISNUMBER(F50),ISNUMBER(G50)),ROUND(F50*G50,0),H50)</x:f>
        <x:v>4080000</x:v>
      </x:c>
      <x:c r="J50" s="35" t="n">
        <x:f>I50-H50</x:f>
        <x:v>0</x:v>
      </x:c>
      <x:c r="K50" s="32" t="str">
        <x:v>Ajliin hols</x:v>
      </x:c>
      <x:c r="L50" s="32" t="n">
        <x:v>47</x:v>
      </x:c>
      <x:c r="M50" s="32" t="str">
        <x:f>IF(J50=0,"OK","Зөрүүтэй")</x:f>
        <x:v>OK</x:v>
      </x:c>
    </x:row>
    <x:row r="51">
      <x:c r="A51" s="32" t="str">
        <x:v>WRK-6R-044</x:v>
      </x:c>
      <x:c r="B51" s="32" t="n">
        <x:v>44</x:v>
      </x:c>
      <x:c r="C51" s="33" t="str">
        <x:v>Шатны бариул хийх</x:v>
      </x:c>
      <x:c r="D51" s="33" t="str"/>
      <x:c r="E51" s="33" t="str">
        <x:v>орц</x:v>
      </x:c>
      <x:c r="F51" s="34" t="n">
        <x:v>1</x:v>
      </x:c>
      <x:c r="G51" s="34" t="n">
        <x:v>4000000</x:v>
      </x:c>
      <x:c r="H51" s="35" t="n">
        <x:v>4000000</x:v>
      </x:c>
      <x:c r="I51" s="35" t="n">
        <x:f>IF(AND(ISNUMBER(F51),ISNUMBER(G51)),ROUND(F51*G51,0),H51)</x:f>
        <x:v>4000000</x:v>
      </x:c>
      <x:c r="J51" s="35" t="n">
        <x:f>I51-H51</x:f>
        <x:v>0</x:v>
      </x:c>
      <x:c r="K51" s="32" t="str">
        <x:v>Ajliin hols</x:v>
      </x:c>
      <x:c r="L51" s="32" t="n">
        <x:v>48</x:v>
      </x:c>
      <x:c r="M51" s="32" t="str">
        <x:f>IF(J51=0,"OK","Зөрүүтэй")</x:f>
        <x:v>OK</x:v>
      </x:c>
    </x:row>
    <x:row r="52">
      <x:c r="A52" s="32" t="str">
        <x:v>WRK-6R-045</x:v>
      </x:c>
      <x:c r="B52" s="32" t="n">
        <x:v>45</x:v>
      </x:c>
      <x:c r="C52" s="33" t="str">
        <x:v>Хананы замаска зүлгүүр</x:v>
      </x:c>
      <x:c r="D52" s="33" t="str"/>
      <x:c r="E52" s="33" t="str">
        <x:v>м2</x:v>
      </x:c>
      <x:c r="F52" s="34" t="n">
        <x:v>23200</x:v>
      </x:c>
      <x:c r="G52" s="34" t="n">
        <x:v>2000</x:v>
      </x:c>
      <x:c r="H52" s="35" t="n">
        <x:v>46400000</x:v>
      </x:c>
      <x:c r="I52" s="35" t="n">
        <x:f>IF(AND(ISNUMBER(F52),ISNUMBER(G52)),ROUND(F52*G52,0),H52)</x:f>
        <x:v>46400000</x:v>
      </x:c>
      <x:c r="J52" s="35" t="n">
        <x:f>I52-H52</x:f>
        <x:v>0</x:v>
      </x:c>
      <x:c r="K52" s="32" t="str">
        <x:v>Ajliin hols</x:v>
      </x:c>
      <x:c r="L52" s="32" t="n">
        <x:v>49</x:v>
      </x:c>
      <x:c r="M52" s="32" t="str">
        <x:f>IF(J52=0,"OK","Зөрүүтэй")</x:f>
        <x:v>OK</x:v>
      </x:c>
    </x:row>
    <x:row r="53">
      <x:c r="A53" s="32" t="str">
        <x:v>WRK-6R-046</x:v>
      </x:c>
      <x:c r="B53" s="32" t="n">
        <x:v>46</x:v>
      </x:c>
      <x:c r="C53" s="33" t="str">
        <x:v>Таазны эмульс хийх ажил</x:v>
      </x:c>
      <x:c r="D53" s="33" t="str"/>
      <x:c r="E53" s="33" t="str">
        <x:v>м2</x:v>
      </x:c>
      <x:c r="F53" s="34" t="n">
        <x:v>8100</x:v>
      </x:c>
      <x:c r="G53" s="34" t="n">
        <x:v>5000</x:v>
      </x:c>
      <x:c r="H53" s="35" t="n">
        <x:v>40500000</x:v>
      </x:c>
      <x:c r="I53" s="35" t="n">
        <x:f>IF(AND(ISNUMBER(F53),ISNUMBER(G53)),ROUND(F53*G53,0),H53)</x:f>
        <x:v>40500000</x:v>
      </x:c>
      <x:c r="J53" s="35" t="n">
        <x:f>I53-H53</x:f>
        <x:v>0</x:v>
      </x:c>
      <x:c r="K53" s="32" t="str">
        <x:v>Ajliin hols</x:v>
      </x:c>
      <x:c r="L53" s="32" t="n">
        <x:v>50</x:v>
      </x:c>
      <x:c r="M53" s="32" t="str">
        <x:f>IF(J53=0,"OK","Зөрүүтэй")</x:f>
        <x:v>OK</x:v>
      </x:c>
    </x:row>
    <x:row r="54">
      <x:c r="A54" s="32" t="str">
        <x:v>WRK-6R-047</x:v>
      </x:c>
      <x:c r="B54" s="32" t="n">
        <x:v>47</x:v>
      </x:c>
      <x:c r="C54" s="33" t="str">
        <x:v>АЦӨ-ний лампиран тааз</x:v>
      </x:c>
      <x:c r="D54" s="33" t="str"/>
      <x:c r="E54" s="33" t="str">
        <x:v>м2</x:v>
      </x:c>
      <x:c r="F54" s="34" t="n">
        <x:v>790</x:v>
      </x:c>
      <x:c r="G54" s="34" t="n">
        <x:v>20000</x:v>
      </x:c>
      <x:c r="H54" s="35" t="n">
        <x:v>15800000</x:v>
      </x:c>
      <x:c r="I54" s="35" t="n">
        <x:f>IF(AND(ISNUMBER(F54),ISNUMBER(G54)),ROUND(F54*G54,0),H54)</x:f>
        <x:v>15800000</x:v>
      </x:c>
      <x:c r="J54" s="35" t="n">
        <x:f>I54-H54</x:f>
        <x:v>0</x:v>
      </x:c>
      <x:c r="K54" s="32" t="str">
        <x:v>Ajliin hols</x:v>
      </x:c>
      <x:c r="L54" s="32" t="n">
        <x:v>51</x:v>
      </x:c>
      <x:c r="M54" s="32" t="str">
        <x:f>IF(J54=0,"OK","Зөрүүтэй")</x:f>
        <x:v>OK</x:v>
      </x:c>
    </x:row>
    <x:row r="55">
      <x:c r="A55" s="32" t="str">
        <x:v>WRK-6R-048</x:v>
      </x:c>
      <x:c r="B55" s="32" t="n">
        <x:v>48</x:v>
      </x:c>
      <x:c r="C55" s="33" t="str">
        <x:v>Паркетан шалны ажил</x:v>
      </x:c>
      <x:c r="D55" s="33" t="str"/>
      <x:c r="E55" s="33" t="str">
        <x:v>м2</x:v>
      </x:c>
      <x:c r="F55" s="34" t="n">
        <x:v>6200</x:v>
      </x:c>
      <x:c r="G55" s="34" t="n">
        <x:v>9000</x:v>
      </x:c>
      <x:c r="H55" s="35" t="n">
        <x:v>55800000</x:v>
      </x:c>
      <x:c r="I55" s="35" t="n">
        <x:f>IF(AND(ISNUMBER(F55),ISNUMBER(G55)),ROUND(F55*G55,0),H55)</x:f>
        <x:v>55800000</x:v>
      </x:c>
      <x:c r="J55" s="35" t="n">
        <x:f>I55-H55</x:f>
        <x:v>0</x:v>
      </x:c>
      <x:c r="K55" s="32" t="str">
        <x:v>Ajliin hols</x:v>
      </x:c>
      <x:c r="L55" s="32" t="n">
        <x:v>52</x:v>
      </x:c>
      <x:c r="M55" s="32" t="str">
        <x:f>IF(J55=0,"OK","Зөрүүтэй")</x:f>
        <x:v>OK</x:v>
      </x:c>
    </x:row>
    <x:row r="56">
      <x:c r="A56" s="32" t="str">
        <x:v>WRK-6R-049</x:v>
      </x:c>
      <x:c r="B56" s="32" t="n">
        <x:v>49</x:v>
      </x:c>
      <x:c r="C56" s="33" t="str">
        <x:v>Обой наах ажил</x:v>
      </x:c>
      <x:c r="D56" s="33" t="str"/>
      <x:c r="E56" s="33" t="str">
        <x:v>м2</x:v>
      </x:c>
      <x:c r="F56" s="34" t="n">
        <x:v>19200</x:v>
      </x:c>
      <x:c r="G56" s="34" t="n">
        <x:v>7000</x:v>
      </x:c>
      <x:c r="H56" s="35" t="n">
        <x:v>134400000</x:v>
      </x:c>
      <x:c r="I56" s="35" t="n">
        <x:f>IF(AND(ISNUMBER(F56),ISNUMBER(G56)),ROUND(F56*G56,0),H56)</x:f>
        <x:v>134400000</x:v>
      </x:c>
      <x:c r="J56" s="35" t="n">
        <x:f>I56-H56</x:f>
        <x:v>0</x:v>
      </x:c>
      <x:c r="K56" s="32" t="str">
        <x:v>Ajliin hols</x:v>
      </x:c>
      <x:c r="L56" s="32" t="n">
        <x:v>53</x:v>
      </x:c>
      <x:c r="M56" s="32" t="str">
        <x:f>IF(J56=0,"OK","Зөрүүтэй")</x:f>
        <x:v>OK</x:v>
      </x:c>
    </x:row>
    <x:row r="57">
      <x:c r="A57" s="32" t="str">
        <x:v>WRK-6R-050</x:v>
      </x:c>
      <x:c r="B57" s="32" t="n">
        <x:v>50</x:v>
      </x:c>
      <x:c r="C57" s="33" t="str">
        <x:v>Гоёлын хөөсөн хүрээ наах</x:v>
      </x:c>
      <x:c r="D57" s="33" t="str"/>
      <x:c r="E57" s="33" t="str">
        <x:v>у/м</x:v>
      </x:c>
      <x:c r="F57" s="34" t="n">
        <x:v>2900</x:v>
      </x:c>
      <x:c r="G57" s="34" t="n">
        <x:v>3500</x:v>
      </x:c>
      <x:c r="H57" s="35" t="n">
        <x:v>10150000</x:v>
      </x:c>
      <x:c r="I57" s="35" t="n">
        <x:f>IF(AND(ISNUMBER(F57),ISNUMBER(G57)),ROUND(F57*G57,0),H57)</x:f>
        <x:v>10150000</x:v>
      </x:c>
      <x:c r="J57" s="35" t="n">
        <x:f>I57-H57</x:f>
        <x:v>0</x:v>
      </x:c>
      <x:c r="K57" s="32" t="str">
        <x:v>Ajliin hols</x:v>
      </x:c>
      <x:c r="L57" s="32" t="n">
        <x:v>54</x:v>
      </x:c>
      <x:c r="M57" s="32" t="str">
        <x:f>IF(J57=0,"OK","Зөрүүтэй")</x:f>
        <x:v>OK</x:v>
      </x:c>
    </x:row>
    <x:row r="58">
      <x:c r="A58" s="32" t="str">
        <x:v>WRK-6R-051</x:v>
      </x:c>
      <x:c r="B58" s="32" t="n">
        <x:v>51</x:v>
      </x:c>
      <x:c r="C58" s="33" t="str">
        <x:v>Плита блентүс</x:v>
      </x:c>
      <x:c r="D58" s="33" t="str"/>
      <x:c r="E58" s="33" t="str">
        <x:v>у/м</x:v>
      </x:c>
      <x:c r="F58" s="34" t="n">
        <x:v>1600</x:v>
      </x:c>
      <x:c r="G58" s="34" t="n">
        <x:v>3500</x:v>
      </x:c>
      <x:c r="H58" s="35" t="n">
        <x:v>5600000</x:v>
      </x:c>
      <x:c r="I58" s="35" t="n">
        <x:f>IF(AND(ISNUMBER(F58),ISNUMBER(G58)),ROUND(F58*G58,0),H58)</x:f>
        <x:v>5600000</x:v>
      </x:c>
      <x:c r="J58" s="35" t="n">
        <x:f>I58-H58</x:f>
        <x:v>0</x:v>
      </x:c>
      <x:c r="K58" s="32" t="str">
        <x:v>Ajliin hols</x:v>
      </x:c>
      <x:c r="L58" s="32" t="n">
        <x:v>55</x:v>
      </x:c>
      <x:c r="M58" s="32" t="str">
        <x:f>IF(J58=0,"OK","Зөрүүтэй")</x:f>
        <x:v>OK</x:v>
      </x:c>
    </x:row>
    <x:row r="59">
      <x:c r="A59" s="32" t="str">
        <x:v>WRK-6R-052</x:v>
      </x:c>
      <x:c r="B59" s="32" t="n">
        <x:v>52</x:v>
      </x:c>
      <x:c r="C59" s="33" t="str">
        <x:v>Гоёлын хананы эмульс хийх</x:v>
      </x:c>
      <x:c r="D59" s="33" t="str">
        <x:v>Ш.хонгил</x:v>
      </x:c>
      <x:c r="E59" s="33" t="str">
        <x:v>м2</x:v>
      </x:c>
      <x:c r="F59" s="34" t="n">
        <x:v>700</x:v>
      </x:c>
      <x:c r="G59" s="34" t="n">
        <x:v>17000</x:v>
      </x:c>
      <x:c r="H59" s="35" t="n">
        <x:v>11900000</x:v>
      </x:c>
      <x:c r="I59" s="35" t="n">
        <x:f>IF(AND(ISNUMBER(F59),ISNUMBER(G59)),ROUND(F59*G59,0),H59)</x:f>
        <x:v>11900000</x:v>
      </x:c>
      <x:c r="J59" s="35" t="n">
        <x:f>I59-H59</x:f>
        <x:v>0</x:v>
      </x:c>
      <x:c r="K59" s="32" t="str">
        <x:v>Ajliin hols</x:v>
      </x:c>
      <x:c r="L59" s="32" t="n">
        <x:v>56</x:v>
      </x:c>
      <x:c r="M59" s="32" t="str">
        <x:f>IF(J59=0,"OK","Зөрүүтэй")</x:f>
        <x:v>OK</x:v>
      </x:c>
    </x:row>
    <x:row r="60">
      <x:c r="A60" s="32" t="str">
        <x:v>WRK-6R-053</x:v>
      </x:c>
      <x:c r="B60" s="32" t="n">
        <x:v>53</x:v>
      </x:c>
      <x:c r="C60" s="33" t="str">
        <x:v>Гоёлын хананы эмульс хийх</x:v>
      </x:c>
      <x:c r="D60" s="33" t="str">
        <x:v>Коридор</x:v>
      </x:c>
      <x:c r="E60" s="33" t="str">
        <x:v>м2</x:v>
      </x:c>
      <x:c r="F60" s="34" t="n">
        <x:v>2900</x:v>
      </x:c>
      <x:c r="G60" s="34" t="n">
        <x:v>23000</x:v>
      </x:c>
      <x:c r="H60" s="35" t="n">
        <x:v>66700000</x:v>
      </x:c>
      <x:c r="I60" s="35" t="n">
        <x:f>IF(AND(ISNUMBER(F60),ISNUMBER(G60)),ROUND(F60*G60,0),H60)</x:f>
        <x:v>66700000</x:v>
      </x:c>
      <x:c r="J60" s="35" t="n">
        <x:f>I60-H60</x:f>
        <x:v>0</x:v>
      </x:c>
      <x:c r="K60" s="32" t="str">
        <x:v>Ajliin hols</x:v>
      </x:c>
      <x:c r="L60" s="32" t="n">
        <x:v>57</x:v>
      </x:c>
      <x:c r="M60" s="32" t="str">
        <x:f>IF(J60=0,"OK","Зөрүүтэй")</x:f>
        <x:v>OK</x:v>
      </x:c>
    </x:row>
    <x:row r="61">
      <x:c r="A61" s="32" t="str">
        <x:v>WRK-6R-054</x:v>
      </x:c>
      <x:c r="B61" s="32" t="n">
        <x:v>54</x:v>
      </x:c>
      <x:c r="C61" s="33" t="str">
        <x:v>Коллекторын хайрцаг суулгах /кор/</x:v>
      </x:c>
      <x:c r="D61" s="33" t="str"/>
      <x:c r="E61" s="33" t="str">
        <x:v>ш</x:v>
      </x:c>
      <x:c r="F61" s="34" t="n">
        <x:v>45</x:v>
      </x:c>
      <x:c r="G61" s="34" t="n">
        <x:v>5000</x:v>
      </x:c>
      <x:c r="H61" s="35" t="n">
        <x:v>225000</x:v>
      </x:c>
      <x:c r="I61" s="35" t="n">
        <x:f>IF(AND(ISNUMBER(F61),ISNUMBER(G61)),ROUND(F61*G61,0),H61)</x:f>
        <x:v>225000</x:v>
      </x:c>
      <x:c r="J61" s="35" t="n">
        <x:f>I61-H61</x:f>
        <x:v>0</x:v>
      </x:c>
      <x:c r="K61" s="32" t="str">
        <x:v>Ajliin hols</x:v>
      </x:c>
      <x:c r="L61" s="32" t="n">
        <x:v>58</x:v>
      </x:c>
      <x:c r="M61" s="32" t="str">
        <x:f>IF(J61=0,"OK","Зөрүүтэй")</x:f>
        <x:v>OK</x:v>
      </x:c>
    </x:row>
    <x:row r="62">
      <x:c r="A62" s="32" t="str">
        <x:v>WRK-6R-055</x:v>
      </x:c>
      <x:c r="B62" s="32" t="n">
        <x:v>55</x:v>
      </x:c>
      <x:c r="C62" s="33" t="str">
        <x:v>АЦӨ-ний босгоны чулуу наах</x:v>
      </x:c>
      <x:c r="D62" s="33" t="str"/>
      <x:c r="E62" s="33" t="str">
        <x:v>ш</x:v>
      </x:c>
      <x:c r="F62" s="34" t="n">
        <x:v>160</x:v>
      </x:c>
      <x:c r="G62" s="34" t="n">
        <x:v>7000</x:v>
      </x:c>
      <x:c r="H62" s="35" t="n">
        <x:v>1120000</x:v>
      </x:c>
      <x:c r="I62" s="35" t="n">
        <x:f>IF(AND(ISNUMBER(F62),ISNUMBER(G62)),ROUND(F62*G62,0),H62)</x:f>
        <x:v>1120000</x:v>
      </x:c>
      <x:c r="J62" s="35" t="n">
        <x:f>I62-H62</x:f>
        <x:v>0</x:v>
      </x:c>
      <x:c r="K62" s="32" t="str">
        <x:v>Ajliin hols</x:v>
      </x:c>
      <x:c r="L62" s="32" t="n">
        <x:v>59</x:v>
      </x:c>
      <x:c r="M62" s="32" t="str">
        <x:f>IF(J62=0,"OK","Зөрүүтэй")</x:f>
        <x:v>OK</x:v>
      </x:c>
    </x:row>
    <x:row r="63">
      <x:c r="A63" s="32" t="str">
        <x:v>WRK-6R-056</x:v>
      </x:c>
      <x:c r="B63" s="32" t="n">
        <x:v>56</x:v>
      </x:c>
      <x:c r="C63" s="33" t="str">
        <x:v>Гоёлын силикон</x:v>
      </x:c>
      <x:c r="D63" s="33" t="str"/>
      <x:c r="E63" s="33" t="str">
        <x:v>дв</x:v>
      </x:c>
      <x:c r="F63" s="34" t="n">
        <x:v>16</x:v>
      </x:c>
      <x:c r="G63" s="34" t="n">
        <x:v>600000</x:v>
      </x:c>
      <x:c r="H63" s="35" t="n">
        <x:v>9600000</x:v>
      </x:c>
      <x:c r="I63" s="35" t="n">
        <x:f>IF(AND(ISNUMBER(F63),ISNUMBER(G63)),ROUND(F63*G63,0),H63)</x:f>
        <x:v>9600000</x:v>
      </x:c>
      <x:c r="J63" s="35" t="n">
        <x:f>I63-H63</x:f>
        <x:v>0</x:v>
      </x:c>
      <x:c r="K63" s="32" t="str">
        <x:v>Ajliin hols</x:v>
      </x:c>
      <x:c r="L63" s="32" t="n">
        <x:v>60</x:v>
      </x:c>
      <x:c r="M63" s="32" t="str">
        <x:f>IF(J63=0,"OK","Зөрүүтэй")</x:f>
        <x:v>OK</x:v>
      </x:c>
    </x:row>
    <x:row r="64">
      <x:c r="A64" s="32" t="str">
        <x:v>WRK-6R-057</x:v>
      </x:c>
      <x:c r="B64" s="32" t="n">
        <x:v>57</x:v>
      </x:c>
      <x:c r="C64" s="33" t="str">
        <x:v>Өргийн ажлын материалын зөөвөр</x:v>
      </x:c>
      <x:c r="D64" s="33" t="str"/>
      <x:c r="E64" s="33" t="str">
        <x:v>дв</x:v>
      </x:c>
      <x:c r="F64" s="34" t="n">
        <x:v>16</x:v>
      </x:c>
      <x:c r="G64" s="34" t="n">
        <x:v>660000</x:v>
      </x:c>
      <x:c r="H64" s="35" t="n">
        <x:v>10560000</x:v>
      </x:c>
      <x:c r="I64" s="35" t="n">
        <x:f>IF(AND(ISNUMBER(F64),ISNUMBER(G64)),ROUND(F64*G64,0),H64)</x:f>
        <x:v>10560000</x:v>
      </x:c>
      <x:c r="J64" s="35" t="n">
        <x:f>I64-H64</x:f>
        <x:v>0</x:v>
      </x:c>
      <x:c r="K64" s="32" t="str">
        <x:v>Ajliin hols</x:v>
      </x:c>
      <x:c r="L64" s="32" t="n">
        <x:v>61</x:v>
      </x:c>
      <x:c r="M64" s="32" t="str">
        <x:f>IF(J64=0,"OK","Зөрүүтэй")</x:f>
        <x:v>OK</x:v>
      </x:c>
    </x:row>
    <x:row r="65">
      <x:c r="A65" s="32" t="str">
        <x:v>WRK-6R-058</x:v>
      </x:c>
      <x:c r="B65" s="32" t="n">
        <x:v>58</x:v>
      </x:c>
      <x:c r="C65" s="33" t="str">
        <x:v>Шаврын ажлын материалын зөөвөр</x:v>
      </x:c>
      <x:c r="D65" s="33" t="str"/>
      <x:c r="E65" s="33" t="str">
        <x:v>дв</x:v>
      </x:c>
      <x:c r="F65" s="34" t="n">
        <x:v>16</x:v>
      </x:c>
      <x:c r="G65" s="34" t="n">
        <x:v>660000</x:v>
      </x:c>
      <x:c r="H65" s="35" t="n">
        <x:v>10560000</x:v>
      </x:c>
      <x:c r="I65" s="35" t="n">
        <x:f>IF(AND(ISNUMBER(F65),ISNUMBER(G65)),ROUND(F65*G65,0),H65)</x:f>
        <x:v>10560000</x:v>
      </x:c>
      <x:c r="J65" s="35" t="n">
        <x:f>I65-H65</x:f>
        <x:v>0</x:v>
      </x:c>
      <x:c r="K65" s="32" t="str">
        <x:v>Ajliin hols</x:v>
      </x:c>
      <x:c r="L65" s="32" t="n">
        <x:v>62</x:v>
      </x:c>
      <x:c r="M65" s="32" t="str">
        <x:f>IF(J65=0,"OK","Зөрүүтэй")</x:f>
        <x:v>OK</x:v>
      </x:c>
    </x:row>
    <x:row r="66">
      <x:c r="A66" s="32" t="str">
        <x:v>WRK-6R-059</x:v>
      </x:c>
      <x:c r="B66" s="32" t="n">
        <x:v>59</x:v>
      </x:c>
      <x:c r="C66" s="33" t="str">
        <x:v>Гипсэний ажлын зөөвөр</x:v>
      </x:c>
      <x:c r="D66" s="33" t="str"/>
      <x:c r="E66" s="33" t="str">
        <x:v>дв</x:v>
      </x:c>
      <x:c r="F66" s="34" t="n">
        <x:v>16</x:v>
      </x:c>
      <x:c r="G66" s="34" t="n">
        <x:v>660000</x:v>
      </x:c>
      <x:c r="H66" s="35" t="n">
        <x:v>10560000</x:v>
      </x:c>
      <x:c r="I66" s="35" t="n">
        <x:f>IF(AND(ISNUMBER(F66),ISNUMBER(G66)),ROUND(F66*G66,0),H66)</x:f>
        <x:v>10560000</x:v>
      </x:c>
      <x:c r="J66" s="35" t="n">
        <x:f>I66-H66</x:f>
        <x:v>0</x:v>
      </x:c>
      <x:c r="K66" s="32" t="str">
        <x:v>Ajliin hols</x:v>
      </x:c>
      <x:c r="L66" s="32" t="n">
        <x:v>63</x:v>
      </x:c>
      <x:c r="M66" s="32" t="str">
        <x:f>IF(J66=0,"OK","Зөрүүтэй")</x:f>
        <x:v>OK</x:v>
      </x:c>
    </x:row>
    <x:row r="67">
      <x:c r="A67" s="32" t="str">
        <x:v>WRK-6R-060</x:v>
      </x:c>
      <x:c r="B67" s="32" t="n">
        <x:v>60</x:v>
      </x:c>
      <x:c r="C67" s="33" t="str">
        <x:v>Чулуу, хайрганы зөөвөр</x:v>
      </x:c>
      <x:c r="D67" s="33" t="str"/>
      <x:c r="E67" s="33" t="str">
        <x:v>дв</x:v>
      </x:c>
      <x:c r="F67" s="34" t="n">
        <x:v>16</x:v>
      </x:c>
      <x:c r="G67" s="34" t="n">
        <x:v>330000</x:v>
      </x:c>
      <x:c r="H67" s="35" t="n">
        <x:v>5280000</x:v>
      </x:c>
      <x:c r="I67" s="35" t="n">
        <x:f>IF(AND(ISNUMBER(F67),ISNUMBER(G67)),ROUND(F67*G67,0),H67)</x:f>
        <x:v>5280000</x:v>
      </x:c>
      <x:c r="J67" s="35" t="n">
        <x:f>I67-H67</x:f>
        <x:v>0</x:v>
      </x:c>
      <x:c r="K67" s="32" t="str">
        <x:v>Ajliin hols</x:v>
      </x:c>
      <x:c r="L67" s="32" t="n">
        <x:v>64</x:v>
      </x:c>
      <x:c r="M67" s="32" t="str">
        <x:f>IF(J67=0,"OK","Зөрүүтэй")</x:f>
        <x:v>OK</x:v>
      </x:c>
    </x:row>
    <x:row r="68">
      <x:c r="A68" s="32" t="str">
        <x:v>WRK-6R-061</x:v>
      </x:c>
      <x:c r="B68" s="32" t="n">
        <x:v>61</x:v>
      </x:c>
      <x:c r="C68" s="33" t="str">
        <x:v>АЦӨ-ний плита, цавуу зөөвөр</x:v>
      </x:c>
      <x:c r="D68" s="33" t="str"/>
      <x:c r="E68" s="33" t="str">
        <x:v>дв</x:v>
      </x:c>
      <x:c r="F68" s="34" t="n">
        <x:v>16</x:v>
      </x:c>
      <x:c r="G68" s="34" t="n">
        <x:v>440000</x:v>
      </x:c>
      <x:c r="H68" s="35" t="n">
        <x:v>7040000</x:v>
      </x:c>
      <x:c r="I68" s="35" t="n">
        <x:f>IF(AND(ISNUMBER(F68),ISNUMBER(G68)),ROUND(F68*G68,0),H68)</x:f>
        <x:v>7040000</x:v>
      </x:c>
      <x:c r="J68" s="35" t="n">
        <x:f>I68-H68</x:f>
        <x:v>0</x:v>
      </x:c>
      <x:c r="K68" s="32" t="str">
        <x:v>Ajliin hols</x:v>
      </x:c>
      <x:c r="L68" s="32" t="n">
        <x:v>65</x:v>
      </x:c>
      <x:c r="M68" s="32" t="str">
        <x:f>IF(J68=0,"OK","Зөрүүтэй")</x:f>
        <x:v>OK</x:v>
      </x:c>
    </x:row>
    <x:row r="69">
      <x:c r="A69" s="32" t="str">
        <x:v>WRK-6R-062</x:v>
      </x:c>
      <x:c r="B69" s="32" t="n">
        <x:v>62</x:v>
      </x:c>
      <x:c r="C69" s="33" t="str">
        <x:v>Паркетан шалны зөөвөр</x:v>
      </x:c>
      <x:c r="D69" s="33" t="str"/>
      <x:c r="E69" s="33" t="str">
        <x:v>дв</x:v>
      </x:c>
      <x:c r="F69" s="34" t="n">
        <x:v>16</x:v>
      </x:c>
      <x:c r="G69" s="34" t="n">
        <x:v>330000</x:v>
      </x:c>
      <x:c r="H69" s="35" t="n">
        <x:v>5280000</x:v>
      </x:c>
      <x:c r="I69" s="35" t="n">
        <x:f>IF(AND(ISNUMBER(F69),ISNUMBER(G69)),ROUND(F69*G69,0),H69)</x:f>
        <x:v>5280000</x:v>
      </x:c>
      <x:c r="J69" s="35" t="n">
        <x:f>I69-H69</x:f>
        <x:v>0</x:v>
      </x:c>
      <x:c r="K69" s="32" t="str">
        <x:v>Ajliin hols</x:v>
      </x:c>
      <x:c r="L69" s="32" t="n">
        <x:v>66</x:v>
      </x:c>
      <x:c r="M69" s="32" t="str">
        <x:f>IF(J69=0,"OK","Зөрүүтэй")</x:f>
        <x:v>OK</x:v>
      </x:c>
    </x:row>
    <x:row r="70">
      <x:c r="A70" s="32" t="str">
        <x:v>WRK-6R-063</x:v>
      </x:c>
      <x:c r="B70" s="32" t="n">
        <x:v>63</x:v>
      </x:c>
      <x:c r="C70" s="33" t="str">
        <x:v>Гарааш хана тэгшилгээ</x:v>
      </x:c>
      <x:c r="D70" s="33" t="str"/>
      <x:c r="E70" s="33" t="str">
        <x:v>м2</x:v>
      </x:c>
      <x:c r="F70" s="34" t="n">
        <x:v>1030</x:v>
      </x:c>
      <x:c r="G70" s="34" t="n">
        <x:v>13000</x:v>
      </x:c>
      <x:c r="H70" s="35" t="n">
        <x:v>13390000</x:v>
      </x:c>
      <x:c r="I70" s="35" t="n">
        <x:f>IF(AND(ISNUMBER(F70),ISNUMBER(G70)),ROUND(F70*G70,0),H70)</x:f>
        <x:v>13390000</x:v>
      </x:c>
      <x:c r="J70" s="35" t="n">
        <x:f>I70-H70</x:f>
        <x:v>0</x:v>
      </x:c>
      <x:c r="K70" s="32" t="str">
        <x:v>Ajliin hols</x:v>
      </x:c>
      <x:c r="L70" s="32" t="n">
        <x:v>67</x:v>
      </x:c>
      <x:c r="M70" s="32" t="str">
        <x:f>IF(J70=0,"OK","Зөрүүтэй")</x:f>
        <x:v>OK</x:v>
      </x:c>
    </x:row>
    <x:row r="71">
      <x:c r="A71" s="32" t="str">
        <x:v>WRK-6R-064</x:v>
      </x:c>
      <x:c r="B71" s="32" t="n">
        <x:v>64</x:v>
      </x:c>
      <x:c r="C71" s="33" t="str">
        <x:v>Гарааш хана эмульс</x:v>
      </x:c>
      <x:c r="D71" s="33" t="str"/>
      <x:c r="E71" s="33" t="str">
        <x:v>м2</x:v>
      </x:c>
      <x:c r="F71" s="34" t="n">
        <x:v>1030</x:v>
      </x:c>
      <x:c r="G71" s="34" t="n">
        <x:v>15000</x:v>
      </x:c>
      <x:c r="H71" s="35" t="n">
        <x:v>15450000</x:v>
      </x:c>
      <x:c r="I71" s="35" t="n">
        <x:f>IF(AND(ISNUMBER(F71),ISNUMBER(G71)),ROUND(F71*G71,0),H71)</x:f>
        <x:v>15450000</x:v>
      </x:c>
      <x:c r="J71" s="35" t="n">
        <x:f>I71-H71</x:f>
        <x:v>0</x:v>
      </x:c>
      <x:c r="K71" s="32" t="str">
        <x:v>Ajliin hols</x:v>
      </x:c>
      <x:c r="L71" s="32" t="n">
        <x:v>68</x:v>
      </x:c>
      <x:c r="M71" s="32" t="str">
        <x:f>IF(J71=0,"OK","Зөрүүтэй")</x:f>
        <x:v>OK</x:v>
      </x:c>
    </x:row>
    <x:row r="72">
      <x:c r="A72" s="32" t="str">
        <x:v>WRK-6R-065</x:v>
      </x:c>
      <x:c r="B72" s="32" t="n">
        <x:v>65</x:v>
      </x:c>
      <x:c r="C72" s="33" t="str">
        <x:v>Гараашийн шал цутгах ажил</x:v>
      </x:c>
      <x:c r="D72" s="33" t="str"/>
      <x:c r="E72" s="33" t="str">
        <x:v>м2</x:v>
      </x:c>
      <x:c r="F72" s="34" t="n">
        <x:v>530</x:v>
      </x:c>
      <x:c r="G72" s="34" t="n">
        <x:v>15000</x:v>
      </x:c>
      <x:c r="H72" s="35" t="n">
        <x:v>7950000</x:v>
      </x:c>
      <x:c r="I72" s="35" t="n">
        <x:f>IF(AND(ISNUMBER(F72),ISNUMBER(G72)),ROUND(F72*G72,0),H72)</x:f>
        <x:v>7950000</x:v>
      </x:c>
      <x:c r="J72" s="35" t="n">
        <x:f>I72-H72</x:f>
        <x:v>0</x:v>
      </x:c>
      <x:c r="K72" s="32" t="str">
        <x:v>Ajliin hols</x:v>
      </x:c>
      <x:c r="L72" s="32" t="n">
        <x:v>69</x:v>
      </x:c>
      <x:c r="M72" s="32" t="str">
        <x:f>IF(J72=0,"OK","Зөрүүтэй")</x:f>
        <x:v>OK</x:v>
      </x:c>
    </x:row>
    <x:row r="73">
      <x:c r="A73" s="32" t="str">
        <x:v>WRK-6R-066</x:v>
      </x:c>
      <x:c r="B73" s="32" t="n">
        <x:v>66</x:v>
      </x:c>
      <x:c r="C73" s="33" t="str">
        <x:v>Гарааш шалны резин будаг</x:v>
      </x:c>
      <x:c r="D73" s="33" t="str"/>
      <x:c r="E73" s="33" t="str">
        <x:v>м2</x:v>
      </x:c>
      <x:c r="F73" s="34" t="n">
        <x:v>500</x:v>
      </x:c>
      <x:c r="G73" s="34" t="n">
        <x:v>45000</x:v>
      </x:c>
      <x:c r="H73" s="35" t="n">
        <x:v>22500000</x:v>
      </x:c>
      <x:c r="I73" s="35" t="n">
        <x:f>IF(AND(ISNUMBER(F73),ISNUMBER(G73)),ROUND(F73*G73,0),H73)</x:f>
        <x:v>22500000</x:v>
      </x:c>
      <x:c r="J73" s="35" t="n">
        <x:f>I73-H73</x:f>
        <x:v>0</x:v>
      </x:c>
      <x:c r="K73" s="32" t="str">
        <x:v>Ajliin hols</x:v>
      </x:c>
      <x:c r="L73" s="32" t="n">
        <x:v>70</x:v>
      </x:c>
      <x:c r="M73" s="32" t="str">
        <x:f>IF(J73=0,"OK","Зөрүүтэй")</x:f>
        <x:v>OK</x:v>
      </x:c>
    </x:row>
    <x:row r="74">
      <x:c r="A74" s="32" t="str">
        <x:v>WRK-6R-067</x:v>
      </x:c>
      <x:c r="B74" s="32" t="n">
        <x:v>67</x:v>
      </x:c>
      <x:c r="C74" s="33" t="str">
        <x:v>Гарааш тааз засал /дулаалгатай/</x:v>
      </x:c>
      <x:c r="D74" s="33" t="str"/>
      <x:c r="E74" s="33" t="str">
        <x:v>м2</x:v>
      </x:c>
      <x:c r="F74" s="34" t="n">
        <x:v>490</x:v>
      </x:c>
      <x:c r="G74" s="34" t="n">
        <x:v>36000</x:v>
      </x:c>
      <x:c r="H74" s="35" t="n">
        <x:v>17640000</x:v>
      </x:c>
      <x:c r="I74" s="35" t="n">
        <x:f>IF(AND(ISNUMBER(F74),ISNUMBER(G74)),ROUND(F74*G74,0),H74)</x:f>
        <x:v>17640000</x:v>
      </x:c>
      <x:c r="J74" s="35" t="n">
        <x:f>I74-H74</x:f>
        <x:v>0</x:v>
      </x:c>
      <x:c r="K74" s="32" t="str">
        <x:v>Ajliin hols</x:v>
      </x:c>
      <x:c r="L74" s="32" t="n">
        <x:v>71</x:v>
      </x:c>
      <x:c r="M74" s="32" t="str">
        <x:f>IF(J74=0,"OK","Зөрүүтэй")</x:f>
        <x:v>OK</x:v>
      </x:c>
    </x:row>
    <x:row r="75">
      <x:c r="A75" s="32" t="str">
        <x:v>WRK-6R-068</x:v>
      </x:c>
      <x:c r="B75" s="32" t="n">
        <x:v>68</x:v>
      </x:c>
      <x:c r="C75" s="33" t="str">
        <x:v>Гарааш гадна хана дулаалга</x:v>
      </x:c>
      <x:c r="D75" s="33" t="str"/>
      <x:c r="E75" s="33" t="str">
        <x:v>м2</x:v>
      </x:c>
      <x:c r="F75" s="34" t="n">
        <x:v>200</x:v>
      </x:c>
      <x:c r="G75" s="34" t="n">
        <x:v>20000</x:v>
      </x:c>
      <x:c r="H75" s="35" t="n">
        <x:v>4000000</x:v>
      </x:c>
      <x:c r="I75" s="35" t="n">
        <x:f>IF(AND(ISNUMBER(F75),ISNUMBER(G75)),ROUND(F75*G75,0),H75)</x:f>
        <x:v>4000000</x:v>
      </x:c>
      <x:c r="J75" s="35" t="n">
        <x:f>I75-H75</x:f>
        <x:v>0</x:v>
      </x:c>
      <x:c r="K75" s="32" t="str">
        <x:v>Ajliin hols</x:v>
      </x:c>
      <x:c r="L75" s="32" t="n">
        <x:v>72</x:v>
      </x:c>
      <x:c r="M75" s="32" t="str">
        <x:f>IF(J75=0,"OK","Зөрүүтэй")</x:f>
        <x:v>OK</x:v>
      </x:c>
    </x:row>
    <x:row r="76">
      <x:c r="A76" s="32" t="str">
        <x:v>WRK-6R-069</x:v>
      </x:c>
      <x:c r="B76" s="32" t="n">
        <x:v>69</x:v>
      </x:c>
      <x:c r="C76" s="33" t="str">
        <x:v>Балконы доторлогоо</x:v>
      </x:c>
      <x:c r="D76" s="33" t="str"/>
      <x:c r="E76" s="33" t="str">
        <x:v>м2</x:v>
      </x:c>
      <x:c r="F76" s="34" t="n">
        <x:v>530</x:v>
      </x:c>
      <x:c r="G76" s="34" t="n">
        <x:v>22000</x:v>
      </x:c>
      <x:c r="H76" s="35" t="n">
        <x:v>11660000</x:v>
      </x:c>
      <x:c r="I76" s="35" t="n">
        <x:f>IF(AND(ISNUMBER(F76),ISNUMBER(G76)),ROUND(F76*G76,0),H76)</x:f>
        <x:v>11660000</x:v>
      </x:c>
      <x:c r="J76" s="35" t="n">
        <x:f>I76-H76</x:f>
        <x:v>0</x:v>
      </x:c>
      <x:c r="K76" s="32" t="str">
        <x:v>Ajliin hols</x:v>
      </x:c>
      <x:c r="L76" s="32" t="n">
        <x:v>73</x:v>
      </x:c>
      <x:c r="M76" s="32" t="str">
        <x:f>IF(J76=0,"OK","Зөрүүтэй")</x:f>
        <x:v>OK</x:v>
      </x:c>
    </x:row>
    <x:row r="77">
      <x:c r="A77" s="32" t="str">
        <x:v>WRK-6R-070</x:v>
      </x:c>
      <x:c r="B77" s="32" t="n">
        <x:v>70</x:v>
      </x:c>
      <x:c r="C77" s="33" t="str">
        <x:v>Барилгын дараах цэвэрлэгээ</x:v>
      </x:c>
      <x:c r="D77" s="33" t="str"/>
      <x:c r="E77" s="33" t="str">
        <x:v>м2</x:v>
      </x:c>
      <x:c r="F77" s="34" t="n">
        <x:v>9075</x:v>
      </x:c>
      <x:c r="G77" s="34" t="n">
        <x:v>4000</x:v>
      </x:c>
      <x:c r="H77" s="35" t="n">
        <x:v>36300000</x:v>
      </x:c>
      <x:c r="I77" s="35" t="n">
        <x:f>IF(AND(ISNUMBER(F77),ISNUMBER(G77)),ROUND(F77*G77,0),H77)</x:f>
        <x:v>36300000</x:v>
      </x:c>
      <x:c r="J77" s="35" t="n">
        <x:f>I77-H77</x:f>
        <x:v>0</x:v>
      </x:c>
      <x:c r="K77" s="32" t="str">
        <x:v>Ajliin hols</x:v>
      </x:c>
      <x:c r="L77" s="32" t="n">
        <x:v>74</x:v>
      </x:c>
      <x:c r="M77" s="32" t="str">
        <x:f>IF(J77=0,"OK","Зөрүүтэй")</x:f>
        <x:v>OK</x:v>
      </x:c>
    </x:row>
    <x:row r="78">
      <x:c r="A78" s="36" t="str">
        <x:v>WRK-6R-071</x:v>
      </x:c>
      <x:c r="B78" s="36" t="n">
        <x:v>71</x:v>
      </x:c>
      <x:c r="C78" s="37" t="str">
        <x:v>Магадлашгүй ажлын хөлс</x:v>
      </x:c>
      <x:c r="D78" s="37" t="str"/>
      <x:c r="E78" s="37" t="str">
        <x:v>%</x:v>
      </x:c>
      <x:c r="F78" s="38" t="n">
        <x:v>10</x:v>
      </x:c>
      <x:c r="G78" s="38"/>
      <x:c r="H78" s="39" t="n">
        <x:v>386085170</x:v>
      </x:c>
      <x:c r="I78" s="39" t="n">
        <x:f>IF(AND(ISNUMBER(F78),ISNUMBER(G78)),ROUND(F78*G78,0),H78)</x:f>
        <x:v>386085170</x:v>
      </x:c>
      <x:c r="J78" s="39" t="n">
        <x:f>I78-H78</x:f>
        <x:v>0</x:v>
      </x:c>
      <x:c r="K78" s="36" t="str">
        <x:v>Ajliin hols</x:v>
      </x:c>
      <x:c r="L78" s="36" t="n">
        <x:v>75</x:v>
      </x:c>
      <x:c r="M78" s="36" t="str">
        <x:f>IF(J78=0,"OK","Зөрүүтэй")</x:f>
        <x:v>OK</x:v>
      </x:c>
    </x:row>
    <x:row r="79">
      <x:c r="A79" s="40" t="str">
        <x:v>НИЙТ АЖЛЫН ХӨЛС</x:v>
      </x:c>
      <x:c r="B79" s="40"/>
      <x:c r="C79" s="40"/>
      <x:c r="D79" s="40"/>
      <x:c r="E79" s="40"/>
      <x:c r="F79" s="41"/>
      <x:c r="G79" s="41"/>
      <x:c r="H79" s="42" t="n">
        <x:f>SUM(H8:H78)</x:f>
        <x:v>4886072870</x:v>
      </x:c>
      <x:c r="I79" s="42" t="n">
        <x:f>SUM(I8:I78)</x:f>
        <x:v>4886072870</x:v>
      </x:c>
      <x:c r="J79" s="42" t="n">
        <x:f>I79-H79</x:f>
        <x:v>0</x:v>
      </x:c>
      <x:c r="K79" s="40"/>
      <x:c r="L79" s="40"/>
      <x:c r="M79" s="40"/>
    </x:row>
  </x:sheetData>
  <x:mergeCells>
    <x:mergeCell ref="A1:M1"/>
    <x:mergeCell ref="A2:M2"/>
    <x:mergeCell ref="A4:B4"/>
    <x:mergeCell ref="C4:D4"/>
    <x:mergeCell ref="E4:F4"/>
    <x:mergeCell ref="G4:H4"/>
    <x:mergeCell ref="A5:B5"/>
    <x:mergeCell ref="C5:D5"/>
    <x:mergeCell ref="E5:F5"/>
    <x:mergeCell ref="G5:H5"/>
    <x:mergeCell ref="A79:G79"/>
  </x:mergeCells>
  <x:conditionalFormatting sqref="M8:M78">
    <x:cfRule type="containsText" dxfId="0" priority="1" operator="containsText" text="Зөрүүтэй"/>
    <x:cfRule type="containsText" dxfId="1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cea6192a97cd4f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28" hidden="0" customWidth="1"/>
    <x:col min="5" max="5" width="11" hidden="0" customWidth="1"/>
    <x:col min="6" max="6" width="14" hidden="0" customWidth="1"/>
    <x:col min="7" max="7" width="15" hidden="0" customWidth="1"/>
    <x:col min="8" max="8" width="17" hidden="0" customWidth="1"/>
    <x:col min="9" max="9" width="17" hidden="0" customWidth="1"/>
    <x:col min="10" max="10" width="14" hidden="0" customWidth="1"/>
    <x:col min="11" max="11" width="18" hidden="0" customWidth="1"/>
    <x:col min="12" max="12" width="12" hidden="0" customWidth="1"/>
    <x:col min="13" max="13" width="19" hidden="0" customWidth="1"/>
    <x:col min="14" max="14" width="10" hidden="0" customWidth="1"/>
  </x:cols>
  <x:sheetData>
    <x:row r="1" ht="30" customHeight="1">
      <x:c r="A1" s="4" t="str">
        <x:v>АЛТАЙ ХОТХОН – 6-Р ЭЭЛЖ | МАТЕРИАЛЫН НЭГДСЭН БАГЦ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tr">
        <x:v>Эх сурвалж: 6r eeljiin tosov kommisiin tosov.xlsx • Өөр файл, онлайн эх сурвалж, өмнөх Master Data ашиглаагүй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59" t="str">
        <x:v>Эх хуудас</x:v>
      </x:c>
      <x:c r="B4" s="59" t="str">
        <x:v>Материалын мөр</x:v>
      </x:c>
      <x:c r="C4" s="59" t="str">
        <x:v>Мөрийн нийлбэр</x:v>
      </x:c>
      <x:c r="D4" s="59" t="str">
        <x:v>Эх нэгдсэн дүн</x:v>
      </x:c>
      <x:c r="E4" s="59" t="str">
        <x:v>Зөрүү</x:v>
      </x:c>
      <x:c r="F4" s="59" t="str">
        <x:v>Тайлбар</x:v>
      </x:c>
    </x:row>
    <x:row r="5">
      <x:c r="A5" s="60" t="str">
        <x:v>Угсралт</x:v>
      </x:c>
      <x:c r="B5" s="61" t="n">
        <x:f>COUNTIF($M$15:$M$862,A5)</x:f>
        <x:v>31</x:v>
      </x:c>
      <x:c r="C5" s="61" t="n">
        <x:f>SUMIF($M$15:$M$862,A5,$H$15:$H$862)</x:f>
        <x:v>3583199900</x:v>
      </x:c>
      <x:c r="D5" s="61" t="n">
        <x:v>3583199900</x:v>
      </x:c>
      <x:c r="E5" s="61" t="n">
        <x:f>C5-D5</x:f>
        <x:v>0</x:v>
      </x:c>
      <x:c r="F5" s="62" t="str">
        <x:v>Тулгалт таарсан</x:v>
      </x:c>
    </x:row>
    <x:row r="6">
      <x:c r="A6" s="63" t="str">
        <x:v>Заслын нийт төсөв</x:v>
      </x:c>
      <x:c r="B6" s="64" t="n">
        <x:f>COUNTIF($M$15:$M$862,A6)</x:f>
        <x:v>256</x:v>
      </x:c>
      <x:c r="C6" s="64" t="n">
        <x:f>SUMIF($M$15:$M$862,A6,$H$15:$H$862)</x:f>
        <x:v>3800231477</x:v>
      </x:c>
      <x:c r="D6" s="64" t="n">
        <x:v>3800231477</x:v>
      </x:c>
      <x:c r="E6" s="64" t="n">
        <x:f>C6-D6</x:f>
        <x:v>0</x:v>
      </x:c>
      <x:c r="F6" s="65" t="str">
        <x:v>Тулгалт таарсан</x:v>
      </x:c>
    </x:row>
    <x:row r="7">
      <x:c r="A7" s="63" t="str">
        <x:v>Сантехник</x:v>
      </x:c>
      <x:c r="B7" s="64" t="n">
        <x:f>COUNTIF($M$15:$M$862,A7)</x:f>
        <x:v>222</x:v>
      </x:c>
      <x:c r="C7" s="64" t="n">
        <x:f>SUMIF($M$15:$M$862,A7,$H$15:$H$862)</x:f>
        <x:v>782714298</x:v>
      </x:c>
      <x:c r="D7" s="64" t="n">
        <x:v>767234298</x:v>
      </x:c>
      <x:c r="E7" s="64" t="n">
        <x:f>C7-D7</x:f>
        <x:v>15480000</x:v>
      </x:c>
      <x:c r="F7" s="65" t="str">
        <x:v>Эхийн нэгдсэн томьёонд 15,480,000 ₮ дутуу</x:v>
      </x:c>
    </x:row>
    <x:row r="8">
      <x:c r="A8" s="63" t="str">
        <x:v>Узель</x:v>
      </x:c>
      <x:c r="B8" s="64" t="n">
        <x:f>COUNTIF($M$15:$M$862,A8)</x:f>
        <x:v>88</x:v>
      </x:c>
      <x:c r="C8" s="64" t="n">
        <x:f>SUMIF($M$15:$M$862,A8,$H$15:$H$862)</x:f>
        <x:v>164561844</x:v>
      </x:c>
      <x:c r="D8" s="64" t="n">
        <x:v>164561844</x:v>
      </x:c>
      <x:c r="E8" s="64" t="n">
        <x:f>C8-D8</x:f>
        <x:v>0</x:v>
      </x:c>
      <x:c r="F8" s="65" t="str">
        <x:v>Тулгалт таарсан</x:v>
      </x:c>
    </x:row>
    <x:row r="9">
      <x:c r="A9" s="63" t="str">
        <x:v>Цахилгаан</x:v>
      </x:c>
      <x:c r="B9" s="64" t="n">
        <x:f>COUNTIF($M$15:$M$862,A9)</x:f>
        <x:v>195</x:v>
      </x:c>
      <x:c r="C9" s="64" t="n">
        <x:f>SUMIF($M$15:$M$862,A9,$H$15:$H$862)</x:f>
        <x:v>379877804</x:v>
      </x:c>
      <x:c r="D9" s="64" t="n">
        <x:v>311204724</x:v>
      </x:c>
      <x:c r="E9" s="64" t="n">
        <x:f>C9-D9</x:f>
        <x:v>68673080</x:v>
      </x:c>
      <x:c r="F9" s="65" t="str">
        <x:v>Задаргааны мөрүүд эх дүнгээс 68,673,080 ₮-өөр их</x:v>
      </x:c>
    </x:row>
    <x:row r="10">
      <x:c r="A10" s="66" t="str">
        <x:v>Холбоо</x:v>
      </x:c>
      <x:c r="B10" s="67" t="n">
        <x:f>COUNTIF($M$15:$M$862,A10)</x:f>
        <x:v>56</x:v>
      </x:c>
      <x:c r="C10" s="67" t="n">
        <x:f>SUMIF($M$15:$M$862,A10,$H$15:$H$862)</x:f>
        <x:v>143920000</x:v>
      </x:c>
      <x:c r="D10" s="67" t="n">
        <x:v>143920000</x:v>
      </x:c>
      <x:c r="E10" s="67" t="n">
        <x:f>C10-D10</x:f>
        <x:v>0</x:v>
      </x:c>
      <x:c r="F10" s="68" t="str">
        <x:v>Тулгалт таарсан</x:v>
      </x:c>
    </x:row>
    <x:row r="11">
      <x:c r="A11" s="40" t="str">
        <x:v>НИЙТ</x:v>
      </x:c>
      <x:c r="B11" s="42"/>
      <x:c r="C11" s="42" t="n">
        <x:f>SUM(C5:C10)</x:f>
        <x:v>8854505323</x:v>
      </x:c>
      <x:c r="D11" s="42" t="n">
        <x:f>SUM(D5:D10)</x:f>
        <x:v>8770352243</x:v>
      </x:c>
      <x:c r="E11" s="42" t="n">
        <x:f>C11-D11</x:f>
        <x:v>84153080</x:v>
      </x:c>
      <x:c r="F11" s="69" t="str">
        <x:v>Зөрүүг эх файлд засалгүй, audit байдлаар хадгалсан</x:v>
      </x:c>
    </x:row>
    <x:row r="14">
      <x:c r="A14" s="17" t="str">
        <x:v>Material ID</x:v>
      </x:c>
      <x:c r="B14" s="17" t="str">
        <x:v>Ангилал / ажил</x:v>
      </x:c>
      <x:c r="C14" s="17" t="str">
        <x:v>Материал / тоноглол</x:v>
      </x:c>
      <x:c r="D14" s="17" t="str">
        <x:v>Марк / үзүүлэлт</x:v>
      </x:c>
      <x:c r="E14" s="17" t="str">
        <x:v>Хэм.нэгж</x:v>
      </x:c>
      <x:c r="F14" s="17" t="str">
        <x:v>Тоо хэмжээ</x:v>
      </x:c>
      <x:c r="G14" s="17" t="str">
        <x:v>Нэгж үнэ</x:v>
      </x:c>
      <x:c r="H14" s="17" t="str">
        <x:v>Эхийн нийт үнэ</x:v>
      </x:c>
      <x:c r="I14" s="17" t="str">
        <x:v>Тооцсон нийт үнэ</x:v>
      </x:c>
      <x:c r="J14" s="17" t="str">
        <x:v>Зөрүү</x:v>
      </x:c>
      <x:c r="K14" s="17" t="str">
        <x:v>Мөрийн төрөл</x:v>
      </x:c>
      <x:c r="L14" s="17" t="str">
        <x:v>Төлөв</x:v>
      </x:c>
      <x:c r="M14" s="17" t="str">
        <x:v>Эх хуудас</x:v>
      </x:c>
      <x:c r="N14" s="17" t="str">
        <x:v>Эх мөр</x:v>
      </x:c>
    </x:row>
    <x:row r="15">
      <x:c r="A15" s="51" t="str">
        <x:v>MAT-6R-0001</x:v>
      </x:c>
      <x:c r="B15" s="52" t="str">
        <x:v>Угсралтын материал</x:v>
      </x:c>
      <x:c r="C15" s="52" t="str">
        <x:v>Хэв хашмал /хана-пум/</x:v>
      </x:c>
      <x:c r="D15" s="52" t="str"/>
      <x:c r="E15" s="52" t="str">
        <x:v>м2</x:v>
      </x:c>
      <x:c r="F15" s="53" t="n">
        <x:v>1450</x:v>
      </x:c>
      <x:c r="G15" s="54" t="n">
        <x:v>70000</x:v>
      </x:c>
      <x:c r="H15" s="54" t="n">
        <x:v>201500000</x:v>
      </x:c>
      <x:c r="I15" s="54" t="n">
        <x:f>IF(AND(ISNUMBER(F15),ISNUMBER(G15)),ROUND(F15*G15,0),H15)</x:f>
        <x:v>101500000</x:v>
      </x:c>
      <x:c r="J15" s="54" t="n">
        <x:f>I15-H15</x:f>
        <x:v>-100000000</x:v>
      </x:c>
      <x:c r="K15" s="51" t="str">
        <x:v>Материал</x:v>
      </x:c>
      <x:c r="L15" s="51" t="str">
        <x:f>IF(J15=0,"OK","Шалгах")</x:f>
        <x:v>Шалгах</x:v>
      </x:c>
      <x:c r="M15" s="51" t="str">
        <x:v>Угсралт</x:v>
      </x:c>
      <x:c r="N15" s="51" t="n">
        <x:v>5</x:v>
      </x:c>
    </x:row>
    <x:row r="16">
      <x:c r="A16" s="51" t="str">
        <x:v>MAT-6R-0002</x:v>
      </x:c>
      <x:c r="B16" s="52" t="str">
        <x:v>Угсралтын материал</x:v>
      </x:c>
      <x:c r="C16" s="52" t="str">
        <x:v>Панер /1.22*2.44/</x:v>
      </x:c>
      <x:c r="D16" s="52" t="str"/>
      <x:c r="E16" s="52" t="str">
        <x:v>ш</x:v>
      </x:c>
      <x:c r="F16" s="53" t="n">
        <x:v>2700</x:v>
      </x:c>
      <x:c r="G16" s="54" t="n">
        <x:v>75000</x:v>
      </x:c>
      <x:c r="H16" s="54" t="n">
        <x:v>202500000</x:v>
      </x:c>
      <x:c r="I16" s="54" t="n">
        <x:f>IF(AND(ISNUMBER(F16),ISNUMBER(G16)),ROUND(F16*G16,0),H16)</x:f>
        <x:v>202500000</x:v>
      </x:c>
      <x:c r="J16" s="54" t="n">
        <x:f>I16-H16</x:f>
        <x:v>0</x:v>
      </x:c>
      <x:c r="K16" s="51" t="str">
        <x:v>Материал</x:v>
      </x:c>
      <x:c r="L16" s="51" t="str">
        <x:f>IF(J16=0,"OK","Шалгах")</x:f>
        <x:v>OK</x:v>
      </x:c>
      <x:c r="M16" s="51" t="str">
        <x:v>Угсралт</x:v>
      </x:c>
      <x:c r="N16" s="51" t="n">
        <x:v>6</x:v>
      </x:c>
    </x:row>
    <x:row r="17">
      <x:c r="A17" s="51" t="str">
        <x:v>MAT-6R-0003</x:v>
      </x:c>
      <x:c r="B17" s="52" t="str">
        <x:v>Угсралтын материал</x:v>
      </x:c>
      <x:c r="C17" s="52" t="str">
        <x:v>Брүс 7*7, /4м-р бодов/</x:v>
      </x:c>
      <x:c r="D17" s="52" t="str"/>
      <x:c r="E17" s="52" t="str">
        <x:v>ш</x:v>
      </x:c>
      <x:c r="F17" s="53" t="n">
        <x:v>5700</x:v>
      </x:c>
      <x:c r="G17" s="54" t="n">
        <x:v>22000</x:v>
      </x:c>
      <x:c r="H17" s="54" t="n">
        <x:v>125400000</x:v>
      </x:c>
      <x:c r="I17" s="54" t="n">
        <x:f>IF(AND(ISNUMBER(F17),ISNUMBER(G17)),ROUND(F17*G17,0),H17)</x:f>
        <x:v>125400000</x:v>
      </x:c>
      <x:c r="J17" s="54" t="n">
        <x:f>I17-H17</x:f>
        <x:v>0</x:v>
      </x:c>
      <x:c r="K17" s="51" t="str">
        <x:v>Материал</x:v>
      </x:c>
      <x:c r="L17" s="51" t="str">
        <x:f>IF(J17=0,"OK","Шалгах")</x:f>
        <x:v>OK</x:v>
      </x:c>
      <x:c r="M17" s="51" t="str">
        <x:v>Угсралт</x:v>
      </x:c>
      <x:c r="N17" s="51" t="n">
        <x:v>7</x:v>
      </x:c>
    </x:row>
    <x:row r="18">
      <x:c r="A18" s="51" t="str">
        <x:v>MAT-6R-0004</x:v>
      </x:c>
      <x:c r="B18" s="52" t="str">
        <x:v>Угсралтын материал</x:v>
      </x:c>
      <x:c r="C18" s="52" t="str">
        <x:v>Брүс 7*5, /4м-р бодов/</x:v>
      </x:c>
      <x:c r="D18" s="52" t="str"/>
      <x:c r="E18" s="52" t="str">
        <x:v>ш</x:v>
      </x:c>
      <x:c r="F18" s="53" t="n">
        <x:v>12700</x:v>
      </x:c>
      <x:c r="G18" s="54" t="n">
        <x:v>15000</x:v>
      </x:c>
      <x:c r="H18" s="54" t="n">
        <x:v>190500000</x:v>
      </x:c>
      <x:c r="I18" s="54" t="n">
        <x:f>IF(AND(ISNUMBER(F18),ISNUMBER(G18)),ROUND(F18*G18,0),H18)</x:f>
        <x:v>190500000</x:v>
      </x:c>
      <x:c r="J18" s="54" t="n">
        <x:f>I18-H18</x:f>
        <x:v>0</x:v>
      </x:c>
      <x:c r="K18" s="51" t="str">
        <x:v>Материал</x:v>
      </x:c>
      <x:c r="L18" s="51" t="str">
        <x:f>IF(J18=0,"OK","Шалгах")</x:f>
        <x:v>OK</x:v>
      </x:c>
      <x:c r="M18" s="51" t="str">
        <x:v>Угсралт</x:v>
      </x:c>
      <x:c r="N18" s="51" t="n">
        <x:v>8</x:v>
      </x:c>
    </x:row>
    <x:row r="19">
      <x:c r="A19" s="51" t="str">
        <x:v>MAT-6R-0005</x:v>
      </x:c>
      <x:c r="B19" s="52" t="str">
        <x:v>Угсралтын материал</x:v>
      </x:c>
      <x:c r="C19" s="52" t="str">
        <x:v>Богино дэгээ</x:v>
      </x:c>
      <x:c r="D19" s="52" t="str"/>
      <x:c r="E19" s="52" t="str">
        <x:v>ш</x:v>
      </x:c>
      <x:c r="F19" s="53" t="n">
        <x:v>4500</x:v>
      </x:c>
      <x:c r="G19" s="54" t="n">
        <x:v>350</x:v>
      </x:c>
      <x:c r="H19" s="54" t="n">
        <x:v>1575000</x:v>
      </x:c>
      <x:c r="I19" s="54" t="n">
        <x:f>IF(AND(ISNUMBER(F19),ISNUMBER(G19)),ROUND(F19*G19,0),H19)</x:f>
        <x:v>1575000</x:v>
      </x:c>
      <x:c r="J19" s="54" t="n">
        <x:f>I19-H19</x:f>
        <x:v>0</x:v>
      </x:c>
      <x:c r="K19" s="51" t="str">
        <x:v>Материал</x:v>
      </x:c>
      <x:c r="L19" s="51" t="str">
        <x:f>IF(J19=0,"OK","Шалгах")</x:f>
        <x:v>OK</x:v>
      </x:c>
      <x:c r="M19" s="51" t="str">
        <x:v>Угсралт</x:v>
      </x:c>
      <x:c r="N19" s="51" t="n">
        <x:v>9</x:v>
      </x:c>
    </x:row>
    <x:row r="20">
      <x:c r="A20" s="51" t="str">
        <x:v>MAT-6R-0006</x:v>
      </x:c>
      <x:c r="B20" s="52" t="str">
        <x:v>Угсралтын материал</x:v>
      </x:c>
      <x:c r="C20" s="52" t="str">
        <x:v>Урт дэгээ</x:v>
      </x:c>
      <x:c r="D20" s="52" t="str"/>
      <x:c r="E20" s="52" t="str">
        <x:v>ш</x:v>
      </x:c>
      <x:c r="F20" s="53" t="n">
        <x:v>4000</x:v>
      </x:c>
      <x:c r="G20" s="54" t="n">
        <x:v>340</x:v>
      </x:c>
      <x:c r="H20" s="54" t="n">
        <x:v>1360000</x:v>
      </x:c>
      <x:c r="I20" s="54" t="n">
        <x:f>IF(AND(ISNUMBER(F20),ISNUMBER(G20)),ROUND(F20*G20,0),H20)</x:f>
        <x:v>1360000</x:v>
      </x:c>
      <x:c r="J20" s="54" t="n">
        <x:f>I20-H20</x:f>
        <x:v>0</x:v>
      </x:c>
      <x:c r="K20" s="51" t="str">
        <x:v>Материал</x:v>
      </x:c>
      <x:c r="L20" s="51" t="str">
        <x:f>IF(J20=0,"OK","Шалгах")</x:f>
        <x:v>OK</x:v>
      </x:c>
      <x:c r="M20" s="51" t="str">
        <x:v>Угсралт</x:v>
      </x:c>
      <x:c r="N20" s="51" t="n">
        <x:v>10</x:v>
      </x:c>
    </x:row>
    <x:row r="21">
      <x:c r="A21" s="51" t="str">
        <x:v>MAT-6R-0007</x:v>
      </x:c>
      <x:c r="B21" s="52" t="str">
        <x:v>Угсралтын материал</x:v>
      </x:c>
      <x:c r="C21" s="52" t="str">
        <x:v>ф40 Труба</x:v>
      </x:c>
      <x:c r="D21" s="52" t="str"/>
      <x:c r="E21" s="52" t="str">
        <x:v>м</x:v>
      </x:c>
      <x:c r="F21" s="53" t="n">
        <x:v>9000</x:v>
      </x:c>
      <x:c r="G21" s="54" t="n">
        <x:v>20000</x:v>
      </x:c>
      <x:c r="H21" s="54" t="n">
        <x:v>180000000</x:v>
      </x:c>
      <x:c r="I21" s="54" t="n">
        <x:f>IF(AND(ISNUMBER(F21),ISNUMBER(G21)),ROUND(F21*G21,0),H21)</x:f>
        <x:v>180000000</x:v>
      </x:c>
      <x:c r="J21" s="54" t="n">
        <x:f>I21-H21</x:f>
        <x:v>0</x:v>
      </x:c>
      <x:c r="K21" s="51" t="str">
        <x:v>Материал</x:v>
      </x:c>
      <x:c r="L21" s="51" t="str">
        <x:f>IF(J21=0,"OK","Шалгах")</x:f>
        <x:v>OK</x:v>
      </x:c>
      <x:c r="M21" s="51" t="str">
        <x:v>Угсралт</x:v>
      </x:c>
      <x:c r="N21" s="51" t="n">
        <x:v>11</x:v>
      </x:c>
    </x:row>
    <x:row r="22">
      <x:c r="A22" s="51" t="str">
        <x:v>MAT-6R-0008</x:v>
      </x:c>
      <x:c r="B22" s="52" t="str">
        <x:v>Угсралтын материал</x:v>
      </x:c>
      <x:c r="C22" s="52" t="str">
        <x:v>Тай 200</x:v>
      </x:c>
      <x:c r="D22" s="52" t="str"/>
      <x:c r="E22" s="52" t="str">
        <x:v>ш</x:v>
      </x:c>
      <x:c r="F22" s="53" t="n">
        <x:v>121000</x:v>
      </x:c>
      <x:c r="G22" s="54" t="n">
        <x:v>300</x:v>
      </x:c>
      <x:c r="H22" s="54" t="n">
        <x:v>36300000</x:v>
      </x:c>
      <x:c r="I22" s="54" t="n">
        <x:f>IF(AND(ISNUMBER(F22),ISNUMBER(G22)),ROUND(F22*G22,0),H22)</x:f>
        <x:v>36300000</x:v>
      </x:c>
      <x:c r="J22" s="54" t="n">
        <x:f>I22-H22</x:f>
        <x:v>0</x:v>
      </x:c>
      <x:c r="K22" s="51" t="str">
        <x:v>Материал</x:v>
      </x:c>
      <x:c r="L22" s="51" t="str">
        <x:f>IF(J22=0,"OK","Шалгах")</x:f>
        <x:v>OK</x:v>
      </x:c>
      <x:c r="M22" s="51" t="str">
        <x:v>Угсралт</x:v>
      </x:c>
      <x:c r="N22" s="51" t="n">
        <x:v>12</x:v>
      </x:c>
    </x:row>
    <x:row r="23">
      <x:c r="A23" s="51" t="str">
        <x:v>MAT-6R-0009</x:v>
      </x:c>
      <x:c r="B23" s="52" t="str">
        <x:v>Угсралтын материал</x:v>
      </x:c>
      <x:c r="C23" s="52" t="str">
        <x:v>Тай 150</x:v>
      </x:c>
      <x:c r="D23" s="52" t="str"/>
      <x:c r="E23" s="52" t="str">
        <x:v>ш</x:v>
      </x:c>
      <x:c r="F23" s="53" t="n">
        <x:v>12000</x:v>
      </x:c>
      <x:c r="G23" s="54" t="n">
        <x:v>250</x:v>
      </x:c>
      <x:c r="H23" s="54" t="n">
        <x:v>3000000</x:v>
      </x:c>
      <x:c r="I23" s="54" t="n">
        <x:f>IF(AND(ISNUMBER(F23),ISNUMBER(G23)),ROUND(F23*G23,0),H23)</x:f>
        <x:v>3000000</x:v>
      </x:c>
      <x:c r="J23" s="54" t="n">
        <x:f>I23-H23</x:f>
        <x:v>0</x:v>
      </x:c>
      <x:c r="K23" s="51" t="str">
        <x:v>Материал</x:v>
      </x:c>
      <x:c r="L23" s="51" t="str">
        <x:f>IF(J23=0,"OK","Шалгах")</x:f>
        <x:v>OK</x:v>
      </x:c>
      <x:c r="M23" s="51" t="str">
        <x:v>Угсралт</x:v>
      </x:c>
      <x:c r="N23" s="51" t="n">
        <x:v>13</x:v>
      </x:c>
    </x:row>
    <x:row r="24">
      <x:c r="A24" s="51" t="str">
        <x:v>MAT-6R-0010</x:v>
      </x:c>
      <x:c r="B24" s="52" t="str">
        <x:v>Угсралтын материал</x:v>
      </x:c>
      <x:c r="C24" s="52" t="str">
        <x:v>Түгжээ /пин/</x:v>
      </x:c>
      <x:c r="D24" s="52" t="str"/>
      <x:c r="E24" s="52" t="str">
        <x:v>ш</x:v>
      </x:c>
      <x:c r="F24" s="53" t="n">
        <x:v>55000</x:v>
      </x:c>
      <x:c r="G24" s="54" t="n">
        <x:v>150</x:v>
      </x:c>
      <x:c r="H24" s="54" t="n">
        <x:v>8250000</x:v>
      </x:c>
      <x:c r="I24" s="54" t="n">
        <x:f>IF(AND(ISNUMBER(F24),ISNUMBER(G24)),ROUND(F24*G24,0),H24)</x:f>
        <x:v>8250000</x:v>
      </x:c>
      <x:c r="J24" s="54" t="n">
        <x:f>I24-H24</x:f>
        <x:v>0</x:v>
      </x:c>
      <x:c r="K24" s="51" t="str">
        <x:v>Материал</x:v>
      </x:c>
      <x:c r="L24" s="51" t="str">
        <x:f>IF(J24=0,"OK","Шалгах")</x:f>
        <x:v>OK</x:v>
      </x:c>
      <x:c r="M24" s="51" t="str">
        <x:v>Угсралт</x:v>
      </x:c>
      <x:c r="N24" s="51" t="n">
        <x:v>14</x:v>
      </x:c>
    </x:row>
    <x:row r="25">
      <x:c r="A25" s="51" t="str">
        <x:v>MAT-6R-0011</x:v>
      </x:c>
      <x:c r="B25" s="52" t="str">
        <x:v>Угсралтын материал</x:v>
      </x:c>
      <x:c r="C25" s="52" t="str">
        <x:v>Бэхэлгээний утас</x:v>
      </x:c>
      <x:c r="D25" s="52" t="str"/>
      <x:c r="E25" s="52" t="str">
        <x:v>кг</x:v>
      </x:c>
      <x:c r="F25" s="53" t="n">
        <x:v>2280</x:v>
      </x:c>
      <x:c r="G25" s="54" t="n">
        <x:v>3300</x:v>
      </x:c>
      <x:c r="H25" s="54" t="n">
        <x:v>7524000</x:v>
      </x:c>
      <x:c r="I25" s="54" t="n">
        <x:f>IF(AND(ISNUMBER(F25),ISNUMBER(G25)),ROUND(F25*G25,0),H25)</x:f>
        <x:v>7524000</x:v>
      </x:c>
      <x:c r="J25" s="54" t="n">
        <x:f>I25-H25</x:f>
        <x:v>0</x:v>
      </x:c>
      <x:c r="K25" s="51" t="str">
        <x:v>Материал</x:v>
      </x:c>
      <x:c r="L25" s="51" t="str">
        <x:f>IF(J25=0,"OK","Шалгах")</x:f>
        <x:v>OK</x:v>
      </x:c>
      <x:c r="M25" s="51" t="str">
        <x:v>Угсралт</x:v>
      </x:c>
      <x:c r="N25" s="51" t="n">
        <x:v>15</x:v>
      </x:c>
    </x:row>
    <x:row r="26">
      <x:c r="A26" s="51" t="str">
        <x:v>MAT-6R-0012</x:v>
      </x:c>
      <x:c r="B26" s="52" t="str">
        <x:v>Угсралтын материал</x:v>
      </x:c>
      <x:c r="C26" s="52" t="str">
        <x:v>Арматурын утас</x:v>
      </x:c>
      <x:c r="D26" s="52" t="str"/>
      <x:c r="E26" s="52" t="str">
        <x:v>кг</x:v>
      </x:c>
      <x:c r="F26" s="53" t="n">
        <x:v>5520</x:v>
      </x:c>
      <x:c r="G26" s="54" t="n">
        <x:v>4000</x:v>
      </x:c>
      <x:c r="H26" s="54" t="n">
        <x:v>22080000</x:v>
      </x:c>
      <x:c r="I26" s="54" t="n">
        <x:f>IF(AND(ISNUMBER(F26),ISNUMBER(G26)),ROUND(F26*G26,0),H26)</x:f>
        <x:v>22080000</x:v>
      </x:c>
      <x:c r="J26" s="54" t="n">
        <x:f>I26-H26</x:f>
        <x:v>0</x:v>
      </x:c>
      <x:c r="K26" s="51" t="str">
        <x:v>Материал</x:v>
      </x:c>
      <x:c r="L26" s="51" t="str">
        <x:f>IF(J26=0,"OK","Шалгах")</x:f>
        <x:v>OK</x:v>
      </x:c>
      <x:c r="M26" s="51" t="str">
        <x:v>Угсралт</x:v>
      </x:c>
      <x:c r="N26" s="51" t="n">
        <x:v>16</x:v>
      </x:c>
    </x:row>
    <x:row r="27">
      <x:c r="A27" s="51" t="str">
        <x:v>MAT-6R-0013</x:v>
      </x:c>
      <x:c r="B27" s="52" t="str">
        <x:v>Угсралтын материал</x:v>
      </x:c>
      <x:c r="C27" s="52" t="str">
        <x:v>Хадаас бетон /75мм/</x:v>
      </x:c>
      <x:c r="D27" s="52" t="str"/>
      <x:c r="E27" s="52" t="str">
        <x:v>хайр</x:v>
      </x:c>
      <x:c r="F27" s="53" t="n">
        <x:v>228</x:v>
      </x:c>
      <x:c r="G27" s="54" t="n">
        <x:v>5500</x:v>
      </x:c>
      <x:c r="H27" s="54" t="n">
        <x:v>1254000</x:v>
      </x:c>
      <x:c r="I27" s="54" t="n">
        <x:f>IF(AND(ISNUMBER(F27),ISNUMBER(G27)),ROUND(F27*G27,0),H27)</x:f>
        <x:v>1254000</x:v>
      </x:c>
      <x:c r="J27" s="54" t="n">
        <x:f>I27-H27</x:f>
        <x:v>0</x:v>
      </x:c>
      <x:c r="K27" s="51" t="str">
        <x:v>Материал</x:v>
      </x:c>
      <x:c r="L27" s="51" t="str">
        <x:f>IF(J27=0,"OK","Шалгах")</x:f>
        <x:v>OK</x:v>
      </x:c>
      <x:c r="M27" s="51" t="str">
        <x:v>Угсралт</x:v>
      </x:c>
      <x:c r="N27" s="51" t="n">
        <x:v>17</x:v>
      </x:c>
    </x:row>
    <x:row r="28">
      <x:c r="A28" s="51" t="str">
        <x:v>MAT-6R-0014</x:v>
      </x:c>
      <x:c r="B28" s="52" t="str">
        <x:v>Угсралтын материал</x:v>
      </x:c>
      <x:c r="C28" s="52" t="str">
        <x:v>Хадаас бетон /50мм/</x:v>
      </x:c>
      <x:c r="D28" s="52" t="str"/>
      <x:c r="E28" s="52" t="str">
        <x:v>хайр</x:v>
      </x:c>
      <x:c r="F28" s="53" t="n">
        <x:v>653</x:v>
      </x:c>
      <x:c r="G28" s="54" t="n">
        <x:v>5500</x:v>
      </x:c>
      <x:c r="H28" s="54" t="n">
        <x:v>3591500</x:v>
      </x:c>
      <x:c r="I28" s="54" t="n">
        <x:f>IF(AND(ISNUMBER(F28),ISNUMBER(G28)),ROUND(F28*G28,0),H28)</x:f>
        <x:v>3591500</x:v>
      </x:c>
      <x:c r="J28" s="54" t="n">
        <x:f>I28-H28</x:f>
        <x:v>0</x:v>
      </x:c>
      <x:c r="K28" s="51" t="str">
        <x:v>Материал</x:v>
      </x:c>
      <x:c r="L28" s="51" t="str">
        <x:f>IF(J28=0,"OK","Шалгах")</x:f>
        <x:v>OK</x:v>
      </x:c>
      <x:c r="M28" s="51" t="str">
        <x:v>Угсралт</x:v>
      </x:c>
      <x:c r="N28" s="51" t="n">
        <x:v>18</x:v>
      </x:c>
    </x:row>
    <x:row r="29">
      <x:c r="A29" s="51" t="str">
        <x:v>MAT-6R-0015</x:v>
      </x:c>
      <x:c r="B29" s="52" t="str">
        <x:v>Угсралтын материал</x:v>
      </x:c>
      <x:c r="C29" s="52" t="str">
        <x:v>Хадаас мод /100мм/</x:v>
      </x:c>
      <x:c r="D29" s="52" t="str"/>
      <x:c r="E29" s="52" t="str">
        <x:v>кг</x:v>
      </x:c>
      <x:c r="F29" s="53" t="n">
        <x:v>1210</x:v>
      </x:c>
      <x:c r="G29" s="54" t="n">
        <x:v>3000</x:v>
      </x:c>
      <x:c r="H29" s="54" t="n">
        <x:v>3630000</x:v>
      </x:c>
      <x:c r="I29" s="54" t="n">
        <x:f>IF(AND(ISNUMBER(F29),ISNUMBER(G29)),ROUND(F29*G29,0),H29)</x:f>
        <x:v>3630000</x:v>
      </x:c>
      <x:c r="J29" s="54" t="n">
        <x:f>I29-H29</x:f>
        <x:v>0</x:v>
      </x:c>
      <x:c r="K29" s="51" t="str">
        <x:v>Материал</x:v>
      </x:c>
      <x:c r="L29" s="51" t="str">
        <x:f>IF(J29=0,"OK","Шалгах")</x:f>
        <x:v>OK</x:v>
      </x:c>
      <x:c r="M29" s="51" t="str">
        <x:v>Угсралт</x:v>
      </x:c>
      <x:c r="N29" s="51" t="n">
        <x:v>19</x:v>
      </x:c>
    </x:row>
    <x:row r="30">
      <x:c r="A30" s="51" t="str">
        <x:v>MAT-6R-0016</x:v>
      </x:c>
      <x:c r="B30" s="52" t="str">
        <x:v>Угсралтын материал</x:v>
      </x:c>
      <x:c r="C30" s="52" t="str">
        <x:v>Хадаас мод /50мм/</x:v>
      </x:c>
      <x:c r="D30" s="52" t="str"/>
      <x:c r="E30" s="52" t="str">
        <x:v>кг</x:v>
      </x:c>
      <x:c r="F30" s="53" t="n">
        <x:v>1210</x:v>
      </x:c>
      <x:c r="G30" s="54" t="n">
        <x:v>3000</x:v>
      </x:c>
      <x:c r="H30" s="54" t="n">
        <x:v>3630000</x:v>
      </x:c>
      <x:c r="I30" s="54" t="n">
        <x:f>IF(AND(ISNUMBER(F30),ISNUMBER(G30)),ROUND(F30*G30,0),H30)</x:f>
        <x:v>3630000</x:v>
      </x:c>
      <x:c r="J30" s="54" t="n">
        <x:f>I30-H30</x:f>
        <x:v>0</x:v>
      </x:c>
      <x:c r="K30" s="51" t="str">
        <x:v>Материал</x:v>
      </x:c>
      <x:c r="L30" s="51" t="str">
        <x:f>IF(J30=0,"OK","Шалгах")</x:f>
        <x:v>OK</x:v>
      </x:c>
      <x:c r="M30" s="51" t="str">
        <x:v>Угсралт</x:v>
      </x:c>
      <x:c r="N30" s="51" t="n">
        <x:v>20</x:v>
      </x:c>
    </x:row>
    <x:row r="31">
      <x:c r="A31" s="51" t="str">
        <x:v>MAT-6R-0017</x:v>
      </x:c>
      <x:c r="B31" s="52" t="str">
        <x:v>Угсралтын материал</x:v>
      </x:c>
      <x:c r="C31" s="52" t="str">
        <x:v>Сэнс /3-тай/</x:v>
      </x:c>
      <x:c r="D31" s="52" t="str"/>
      <x:c r="E31" s="52" t="str">
        <x:v>ш</x:v>
      </x:c>
      <x:c r="F31" s="53" t="n">
        <x:v>20700</x:v>
      </x:c>
      <x:c r="G31" s="54" t="n">
        <x:v>120</x:v>
      </x:c>
      <x:c r="H31" s="54" t="n">
        <x:v>2484000</x:v>
      </x:c>
      <x:c r="I31" s="54" t="n">
        <x:f>IF(AND(ISNUMBER(F31),ISNUMBER(G31)),ROUND(F31*G31,0),H31)</x:f>
        <x:v>2484000</x:v>
      </x:c>
      <x:c r="J31" s="54" t="n">
        <x:f>I31-H31</x:f>
        <x:v>0</x:v>
      </x:c>
      <x:c r="K31" s="51" t="str">
        <x:v>Материал</x:v>
      </x:c>
      <x:c r="L31" s="51" t="str">
        <x:f>IF(J31=0,"OK","Шалгах")</x:f>
        <x:v>OK</x:v>
      </x:c>
      <x:c r="M31" s="51" t="str">
        <x:v>Угсралт</x:v>
      </x:c>
      <x:c r="N31" s="51" t="n">
        <x:v>21</x:v>
      </x:c>
    </x:row>
    <x:row r="32">
      <x:c r="A32" s="51" t="str">
        <x:v>MAT-6R-0018</x:v>
      </x:c>
      <x:c r="B32" s="52" t="str">
        <x:v>Угсралтын материал</x:v>
      </x:c>
      <x:c r="C32" s="52" t="str">
        <x:v>2.5-тай электрод</x:v>
      </x:c>
      <x:c r="D32" s="52" t="str"/>
      <x:c r="E32" s="52" t="str">
        <x:v>боод</x:v>
      </x:c>
      <x:c r="F32" s="53" t="n">
        <x:v>17</x:v>
      </x:c>
      <x:c r="G32" s="54" t="n">
        <x:v>22000</x:v>
      </x:c>
      <x:c r="H32" s="54" t="n">
        <x:v>374000</x:v>
      </x:c>
      <x:c r="I32" s="54" t="n">
        <x:f>IF(AND(ISNUMBER(F32),ISNUMBER(G32)),ROUND(F32*G32,0),H32)</x:f>
        <x:v>374000</x:v>
      </x:c>
      <x:c r="J32" s="54" t="n">
        <x:f>I32-H32</x:f>
        <x:v>0</x:v>
      </x:c>
      <x:c r="K32" s="51" t="str">
        <x:v>Материал</x:v>
      </x:c>
      <x:c r="L32" s="51" t="str">
        <x:f>IF(J32=0,"OK","Шалгах")</x:f>
        <x:v>OK</x:v>
      </x:c>
      <x:c r="M32" s="51" t="str">
        <x:v>Угсралт</x:v>
      </x:c>
      <x:c r="N32" s="51" t="n">
        <x:v>22</x:v>
      </x:c>
    </x:row>
    <x:row r="33">
      <x:c r="A33" s="51" t="str">
        <x:v>MAT-6R-0019</x:v>
      </x:c>
      <x:c r="B33" s="52" t="str">
        <x:v>Угсралтын материал</x:v>
      </x:c>
      <x:c r="C33" s="52" t="str">
        <x:v>Төмрийн ир /105-тай/</x:v>
      </x:c>
      <x:c r="D33" s="52" t="str"/>
      <x:c r="E33" s="52" t="str">
        <x:v>ш</x:v>
      </x:c>
      <x:c r="F33" s="53" t="n">
        <x:v>228</x:v>
      </x:c>
      <x:c r="G33" s="54" t="n">
        <x:v>1800</x:v>
      </x:c>
      <x:c r="H33" s="54" t="n">
        <x:v>410400</x:v>
      </x:c>
      <x:c r="I33" s="54" t="n">
        <x:f>IF(AND(ISNUMBER(F33),ISNUMBER(G33)),ROUND(F33*G33,0),H33)</x:f>
        <x:v>410400</x:v>
      </x:c>
      <x:c r="J33" s="54" t="n">
        <x:f>I33-H33</x:f>
        <x:v>0</x:v>
      </x:c>
      <x:c r="K33" s="51" t="str">
        <x:v>Материал</x:v>
      </x:c>
      <x:c r="L33" s="51" t="str">
        <x:f>IF(J33=0,"OK","Шалгах")</x:f>
        <x:v>OK</x:v>
      </x:c>
      <x:c r="M33" s="51" t="str">
        <x:v>Угсралт</x:v>
      </x:c>
      <x:c r="N33" s="51" t="n">
        <x:v>23</x:v>
      </x:c>
    </x:row>
    <x:row r="34">
      <x:c r="A34" s="51" t="str">
        <x:v>MAT-6R-0020</x:v>
      </x:c>
      <x:c r="B34" s="52" t="str">
        <x:v>Угсралтын материал</x:v>
      </x:c>
      <x:c r="C34" s="52" t="str">
        <x:v>Төмрийн ир /400-тай/</x:v>
      </x:c>
      <x:c r="D34" s="52" t="str"/>
      <x:c r="E34" s="52" t="str">
        <x:v>ш</x:v>
      </x:c>
      <x:c r="F34" s="53" t="n">
        <x:v>53</x:v>
      </x:c>
      <x:c r="G34" s="54" t="n">
        <x:v>9000</x:v>
      </x:c>
      <x:c r="H34" s="54" t="n">
        <x:v>477000</x:v>
      </x:c>
      <x:c r="I34" s="54" t="n">
        <x:f>IF(AND(ISNUMBER(F34),ISNUMBER(G34)),ROUND(F34*G34,0),H34)</x:f>
        <x:v>477000</x:v>
      </x:c>
      <x:c r="J34" s="54" t="n">
        <x:f>I34-H34</x:f>
        <x:v>0</x:v>
      </x:c>
      <x:c r="K34" s="51" t="str">
        <x:v>Материал</x:v>
      </x:c>
      <x:c r="L34" s="51" t="str">
        <x:f>IF(J34=0,"OK","Шалгах")</x:f>
        <x:v>OK</x:v>
      </x:c>
      <x:c r="M34" s="51" t="str">
        <x:v>Угсралт</x:v>
      </x:c>
      <x:c r="N34" s="51" t="n">
        <x:v>24</x:v>
      </x:c>
    </x:row>
    <x:row r="35">
      <x:c r="A35" s="51" t="str">
        <x:v>MAT-6R-0021</x:v>
      </x:c>
      <x:c r="B35" s="52" t="str">
        <x:v>Угсралтын материал</x:v>
      </x:c>
      <x:c r="C35" s="52" t="str">
        <x:v>Модны ир /230-тай/</x:v>
      </x:c>
      <x:c r="D35" s="52" t="str"/>
      <x:c r="E35" s="52" t="str">
        <x:v>ш</x:v>
      </x:c>
      <x:c r="F35" s="53" t="n">
        <x:v>36</x:v>
      </x:c>
      <x:c r="G35" s="54" t="n">
        <x:v>18000</x:v>
      </x:c>
      <x:c r="H35" s="54" t="n">
        <x:v>648000</x:v>
      </x:c>
      <x:c r="I35" s="54" t="n">
        <x:f>IF(AND(ISNUMBER(F35),ISNUMBER(G35)),ROUND(F35*G35,0),H35)</x:f>
        <x:v>648000</x:v>
      </x:c>
      <x:c r="J35" s="54" t="n">
        <x:f>I35-H35</x:f>
        <x:v>0</x:v>
      </x:c>
      <x:c r="K35" s="51" t="str">
        <x:v>Материал</x:v>
      </x:c>
      <x:c r="L35" s="51" t="str">
        <x:f>IF(J35=0,"OK","Шалгах")</x:f>
        <x:v>OK</x:v>
      </x:c>
      <x:c r="M35" s="51" t="str">
        <x:v>Угсралт</x:v>
      </x:c>
      <x:c r="N35" s="51" t="n">
        <x:v>25</x:v>
      </x:c>
    </x:row>
    <x:row r="36">
      <x:c r="A36" s="51" t="str">
        <x:v>MAT-6R-0022</x:v>
      </x:c>
      <x:c r="B36" s="52" t="str">
        <x:v>Угсралтын материал</x:v>
      </x:c>
      <x:c r="C36" s="52" t="str">
        <x:v>Модны ир /180-тай/</x:v>
      </x:c>
      <x:c r="D36" s="52" t="str"/>
      <x:c r="E36" s="52" t="str">
        <x:v>ш</x:v>
      </x:c>
      <x:c r="F36" s="53" t="n">
        <x:v>52</x:v>
      </x:c>
      <x:c r="G36" s="54" t="n">
        <x:v>15000</x:v>
      </x:c>
      <x:c r="H36" s="54" t="n">
        <x:v>780000</x:v>
      </x:c>
      <x:c r="I36" s="54" t="n">
        <x:f>IF(AND(ISNUMBER(F36),ISNUMBER(G36)),ROUND(F36*G36,0),H36)</x:f>
        <x:v>780000</x:v>
      </x:c>
      <x:c r="J36" s="54" t="n">
        <x:f>I36-H36</x:f>
        <x:v>0</x:v>
      </x:c>
      <x:c r="K36" s="51" t="str">
        <x:v>Материал</x:v>
      </x:c>
      <x:c r="L36" s="51" t="str">
        <x:f>IF(J36=0,"OK","Шалгах")</x:f>
        <x:v>OK</x:v>
      </x:c>
      <x:c r="M36" s="51" t="str">
        <x:v>Угсралт</x:v>
      </x:c>
      <x:c r="N36" s="51" t="n">
        <x:v>26</x:v>
      </x:c>
    </x:row>
    <x:row r="37">
      <x:c r="A37" s="51" t="str">
        <x:v>MAT-6R-0023</x:v>
      </x:c>
      <x:c r="B37" s="52" t="str">
        <x:v>Угсралтын материал</x:v>
      </x:c>
      <x:c r="C37" s="52" t="str">
        <x:v>Пум тослох</x:v>
      </x:c>
      <x:c r="D37" s="52" t="str"/>
      <x:c r="E37" s="52" t="str">
        <x:v>л</x:v>
      </x:c>
      <x:c r="F37" s="53" t="n">
        <x:v>1040</x:v>
      </x:c>
      <x:c r="G37" s="54" t="n">
        <x:v>2000</x:v>
      </x:c>
      <x:c r="H37" s="54" t="n">
        <x:v>2080000</x:v>
      </x:c>
      <x:c r="I37" s="54" t="n">
        <x:f>IF(AND(ISNUMBER(F37),ISNUMBER(G37)),ROUND(F37*G37,0),H37)</x:f>
        <x:v>2080000</x:v>
      </x:c>
      <x:c r="J37" s="54" t="n">
        <x:f>I37-H37</x:f>
        <x:v>0</x:v>
      </x:c>
      <x:c r="K37" s="51" t="str">
        <x:v>Материал</x:v>
      </x:c>
      <x:c r="L37" s="51" t="str">
        <x:f>IF(J37=0,"OK","Шалгах")</x:f>
        <x:v>OK</x:v>
      </x:c>
      <x:c r="M37" s="51" t="str">
        <x:v>Угсралт</x:v>
      </x:c>
      <x:c r="N37" s="51" t="n">
        <x:v>27</x:v>
      </x:c>
    </x:row>
    <x:row r="38">
      <x:c r="A38" s="51" t="str">
        <x:v>MAT-6R-0024</x:v>
      </x:c>
      <x:c r="B38" s="52" t="str">
        <x:v>Угсралтын материал</x:v>
      </x:c>
      <x:c r="C38" s="52" t="str">
        <x:v>Скоч дунд</x:v>
      </x:c>
      <x:c r="D38" s="52" t="str"/>
      <x:c r="E38" s="52" t="str">
        <x:v>ш</x:v>
      </x:c>
      <x:c r="F38" s="53" t="n">
        <x:v>52</x:v>
      </x:c>
      <x:c r="G38" s="54" t="n">
        <x:v>6500</x:v>
      </x:c>
      <x:c r="H38" s="54" t="n">
        <x:v>338000</x:v>
      </x:c>
      <x:c r="I38" s="54" t="n">
        <x:f>IF(AND(ISNUMBER(F38),ISNUMBER(G38)),ROUND(F38*G38,0),H38)</x:f>
        <x:v>338000</x:v>
      </x:c>
      <x:c r="J38" s="54" t="n">
        <x:f>I38-H38</x:f>
        <x:v>0</x:v>
      </x:c>
      <x:c r="K38" s="51" t="str">
        <x:v>Материал</x:v>
      </x:c>
      <x:c r="L38" s="51" t="str">
        <x:f>IF(J38=0,"OK","Шалгах")</x:f>
        <x:v>OK</x:v>
      </x:c>
      <x:c r="M38" s="51" t="str">
        <x:v>Угсралт</x:v>
      </x:c>
      <x:c r="N38" s="51" t="n">
        <x:v>28</x:v>
      </x:c>
    </x:row>
    <x:row r="39">
      <x:c r="A39" s="51" t="str">
        <x:v>MAT-6R-0025</x:v>
      </x:c>
      <x:c r="B39" s="52" t="str">
        <x:v>Угсралтын материал</x:v>
      </x:c>
      <x:c r="C39" s="52" t="str">
        <x:v>Мятуу+бэх</x:v>
      </x:c>
      <x:c r="D39" s="52" t="str"/>
      <x:c r="E39" s="52" t="str">
        <x:v>ш</x:v>
      </x:c>
      <x:c r="F39" s="53" t="n">
        <x:v>18</x:v>
      </x:c>
      <x:c r="G39" s="54" t="n">
        <x:v>7500</x:v>
      </x:c>
      <x:c r="H39" s="54" t="n">
        <x:v>135000</x:v>
      </x:c>
      <x:c r="I39" s="54" t="n">
        <x:f>IF(AND(ISNUMBER(F39),ISNUMBER(G39)),ROUND(F39*G39,0),H39)</x:f>
        <x:v>135000</x:v>
      </x:c>
      <x:c r="J39" s="54" t="n">
        <x:f>I39-H39</x:f>
        <x:v>0</x:v>
      </x:c>
      <x:c r="K39" s="51" t="str">
        <x:v>Материал</x:v>
      </x:c>
      <x:c r="L39" s="51" t="str">
        <x:f>IF(J39=0,"OK","Шалгах")</x:f>
        <x:v>OK</x:v>
      </x:c>
      <x:c r="M39" s="51" t="str">
        <x:v>Угсралт</x:v>
      </x:c>
      <x:c r="N39" s="51" t="n">
        <x:v>29</x:v>
      </x:c>
    </x:row>
    <x:row r="40">
      <x:c r="A40" s="51" t="str">
        <x:v>MAT-6R-0026</x:v>
      </x:c>
      <x:c r="B40" s="52" t="str">
        <x:v>Угсралтын материал</x:v>
      </x:c>
      <x:c r="C40" s="52" t="str">
        <x:v>Палмастор</x:v>
      </x:c>
      <x:c r="D40" s="52" t="str"/>
      <x:c r="E40" s="52" t="str">
        <x:v>ш</x:v>
      </x:c>
      <x:c r="F40" s="53" t="n">
        <x:v>170</x:v>
      </x:c>
      <x:c r="G40" s="54" t="n">
        <x:v>2500</x:v>
      </x:c>
      <x:c r="H40" s="54" t="n">
        <x:v>425000</x:v>
      </x:c>
      <x:c r="I40" s="54" t="n">
        <x:f>IF(AND(ISNUMBER(F40),ISNUMBER(G40)),ROUND(F40*G40,0),H40)</x:f>
        <x:v>425000</x:v>
      </x:c>
      <x:c r="J40" s="54" t="n">
        <x:f>I40-H40</x:f>
        <x:v>0</x:v>
      </x:c>
      <x:c r="K40" s="51" t="str">
        <x:v>Материал</x:v>
      </x:c>
      <x:c r="L40" s="51" t="str">
        <x:f>IF(J40=0,"OK","Шалгах")</x:f>
        <x:v>OK</x:v>
      </x:c>
      <x:c r="M40" s="51" t="str">
        <x:v>Угсралт</x:v>
      </x:c>
      <x:c r="N40" s="51" t="n">
        <x:v>30</x:v>
      </x:c>
    </x:row>
    <x:row r="41">
      <x:c r="A41" s="51" t="str">
        <x:v>MAT-6R-0027</x:v>
      </x:c>
      <x:c r="B41" s="52" t="str">
        <x:v>Угсралтын материал</x:v>
      </x:c>
      <x:c r="C41" s="52" t="str">
        <x:v>Өнхөрүүш</x:v>
      </x:c>
      <x:c r="D41" s="52" t="str"/>
      <x:c r="E41" s="52" t="str">
        <x:v>ш</x:v>
      </x:c>
      <x:c r="F41" s="53" t="n">
        <x:v>85</x:v>
      </x:c>
      <x:c r="G41" s="54" t="n">
        <x:v>7500</x:v>
      </x:c>
      <x:c r="H41" s="54" t="n">
        <x:v>637500</x:v>
      </x:c>
      <x:c r="I41" s="54" t="n">
        <x:f>IF(AND(ISNUMBER(F41),ISNUMBER(G41)),ROUND(F41*G41,0),H41)</x:f>
        <x:v>637500</x:v>
      </x:c>
      <x:c r="J41" s="54" t="n">
        <x:f>I41-H41</x:f>
        <x:v>0</x:v>
      </x:c>
      <x:c r="K41" s="51" t="str">
        <x:v>Материал</x:v>
      </x:c>
      <x:c r="L41" s="51" t="str">
        <x:f>IF(J41=0,"OK","Шалгах")</x:f>
        <x:v>OK</x:v>
      </x:c>
      <x:c r="M41" s="51" t="str">
        <x:v>Угсралт</x:v>
      </x:c>
      <x:c r="N41" s="51" t="n">
        <x:v>31</x:v>
      </x:c>
    </x:row>
    <x:row r="42">
      <x:c r="A42" s="51" t="str">
        <x:v>MAT-6R-0028</x:v>
      </x:c>
      <x:c r="B42" s="52" t="str">
        <x:v>Угсралтын материал</x:v>
      </x:c>
      <x:c r="C42" s="52" t="str">
        <x:v>Ишнүүрийн утас</x:v>
      </x:c>
      <x:c r="D42" s="52" t="str"/>
      <x:c r="E42" s="52" t="str">
        <x:v>ш</x:v>
      </x:c>
      <x:c r="F42" s="53" t="n">
        <x:v>34</x:v>
      </x:c>
      <x:c r="G42" s="54" t="n">
        <x:v>3500</x:v>
      </x:c>
      <x:c r="H42" s="54" t="n">
        <x:v>119000</x:v>
      </x:c>
      <x:c r="I42" s="54" t="n">
        <x:f>IF(AND(ISNUMBER(F42),ISNUMBER(G42)),ROUND(F42*G42,0),H42)</x:f>
        <x:v>119000</x:v>
      </x:c>
      <x:c r="J42" s="54" t="n">
        <x:f>I42-H42</x:f>
        <x:v>0</x:v>
      </x:c>
      <x:c r="K42" s="51" t="str">
        <x:v>Материал</x:v>
      </x:c>
      <x:c r="L42" s="51" t="str">
        <x:f>IF(J42=0,"OK","Шалгах")</x:f>
        <x:v>OK</x:v>
      </x:c>
      <x:c r="M42" s="51" t="str">
        <x:v>Угсралт</x:v>
      </x:c>
      <x:c r="N42" s="51" t="n">
        <x:v>32</x:v>
      </x:c>
    </x:row>
    <x:row r="43">
      <x:c r="A43" s="51" t="str">
        <x:v>MAT-6R-0029</x:v>
      </x:c>
      <x:c r="B43" s="52" t="str">
        <x:v>Угсралтын материал</x:v>
      </x:c>
      <x:c r="C43" s="52" t="str">
        <x:v>Төмөр тор /шат/</x:v>
      </x:c>
      <x:c r="D43" s="52" t="str"/>
      <x:c r="E43" s="52" t="str">
        <x:v>ш</x:v>
      </x:c>
      <x:c r="F43" s="53" t="n">
        <x:v>8.5</x:v>
      </x:c>
      <x:c r="G43" s="54" t="n">
        <x:v>155000</x:v>
      </x:c>
      <x:c r="H43" s="54" t="n">
        <x:v>1317500</x:v>
      </x:c>
      <x:c r="I43" s="54" t="n">
        <x:f>IF(AND(ISNUMBER(F43),ISNUMBER(G43)),ROUND(F43*G43,0),H43)</x:f>
        <x:v>1317500</x:v>
      </x:c>
      <x:c r="J43" s="54" t="n">
        <x:f>I43-H43</x:f>
        <x:v>0</x:v>
      </x:c>
      <x:c r="K43" s="51" t="str">
        <x:v>Материал</x:v>
      </x:c>
      <x:c r="L43" s="51" t="str">
        <x:f>IF(J43=0,"OK","Шалгах")</x:f>
        <x:v>OK</x:v>
      </x:c>
      <x:c r="M43" s="51" t="str">
        <x:v>Угсралт</x:v>
      </x:c>
      <x:c r="N43" s="51" t="n">
        <x:v>33</x:v>
      </x:c>
    </x:row>
    <x:row r="44">
      <x:c r="A44" s="51" t="str">
        <x:v>MAT-6R-0030</x:v>
      </x:c>
      <x:c r="B44" s="52" t="str">
        <x:v>Угсралтын материал</x:v>
      </x:c>
      <x:c r="C44" s="52" t="str">
        <x:v>Арматур /ф8-ф25/</x:v>
      </x:c>
      <x:c r="D44" s="52" t="str"/>
      <x:c r="E44" s="52" t="str">
        <x:v>тн</x:v>
      </x:c>
      <x:c r="F44" s="53" t="n">
        <x:v>482</x:v>
      </x:c>
      <x:c r="G44" s="54" t="n">
        <x:v>2600000</x:v>
      </x:c>
      <x:c r="H44" s="54" t="n">
        <x:v>1253200000</x:v>
      </x:c>
      <x:c r="I44" s="54" t="n">
        <x:f>IF(AND(ISNUMBER(F44),ISNUMBER(G44)),ROUND(F44*G44,0),H44)</x:f>
        <x:v>1253200000</x:v>
      </x:c>
      <x:c r="J44" s="54" t="n">
        <x:f>I44-H44</x:f>
        <x:v>0</x:v>
      </x:c>
      <x:c r="K44" s="51" t="str">
        <x:v>Материал</x:v>
      </x:c>
      <x:c r="L44" s="51" t="str">
        <x:f>IF(J44=0,"OK","Шалгах")</x:f>
        <x:v>OK</x:v>
      </x:c>
      <x:c r="M44" s="51" t="str">
        <x:v>Угсралт</x:v>
      </x:c>
      <x:c r="N44" s="51" t="n">
        <x:v>34</x:v>
      </x:c>
    </x:row>
    <x:row r="45">
      <x:c r="A45" s="51" t="str">
        <x:v>MAT-6R-0031</x:v>
      </x:c>
      <x:c r="B45" s="52" t="str">
        <x:v>Угсралтын материал</x:v>
      </x:c>
      <x:c r="C45" s="52" t="str">
        <x:v>Бетон /В25/</x:v>
      </x:c>
      <x:c r="D45" s="52" t="str"/>
      <x:c r="E45" s="52" t="str">
        <x:v>м3</x:v>
      </x:c>
      <x:c r="F45" s="53" t="n">
        <x:v>3688</x:v>
      </x:c>
      <x:c r="G45" s="54" t="n">
        <x:v>360000</x:v>
      </x:c>
      <x:c r="H45" s="54" t="n">
        <x:v>1327680000</x:v>
      </x:c>
      <x:c r="I45" s="54" t="n">
        <x:f>IF(AND(ISNUMBER(F45),ISNUMBER(G45)),ROUND(F45*G45,0),H45)</x:f>
        <x:v>1327680000</x:v>
      </x:c>
      <x:c r="J45" s="54" t="n">
        <x:f>I45-H45</x:f>
        <x:v>0</x:v>
      </x:c>
      <x:c r="K45" s="51" t="str">
        <x:v>Материал</x:v>
      </x:c>
      <x:c r="L45" s="51" t="str">
        <x:f>IF(J45=0,"OK","Шалгах")</x:f>
        <x:v>OK</x:v>
      </x:c>
      <x:c r="M45" s="51" t="str">
        <x:v>Угсралт</x:v>
      </x:c>
      <x:c r="N45" s="51" t="n">
        <x:v>35</x:v>
      </x:c>
    </x:row>
    <x:row r="46">
      <x:c r="A46" s="51" t="str">
        <x:v>MAT-6R-0032</x:v>
      </x:c>
      <x:c r="B46" s="52" t="str">
        <x:v>Дээврийн ажил</x:v>
      </x:c>
      <x:c r="C46" s="52" t="str">
        <x:v>Уур, ус тусгаарлагч /пергамин П-350/</x:v>
      </x:c>
      <x:c r="D46" s="52" t="str"/>
      <x:c r="E46" s="52" t="str">
        <x:v>м2</x:v>
      </x:c>
      <x:c r="F46" s="53" t="n">
        <x:v>720</x:v>
      </x:c>
      <x:c r="G46" s="54" t="n">
        <x:v>14500</x:v>
      </x:c>
      <x:c r="H46" s="54" t="n">
        <x:v>10440000</x:v>
      </x:c>
      <x:c r="I46" s="54" t="n">
        <x:f>IF(AND(ISNUMBER(F46),ISNUMBER(G46)),ROUND(F46*G46,0),H46)</x:f>
        <x:v>10440000</x:v>
      </x:c>
      <x:c r="J46" s="54" t="n">
        <x:f>I46-H46</x:f>
        <x:v>0</x:v>
      </x:c>
      <x:c r="K46" s="51" t="str">
        <x:v>Материал</x:v>
      </x:c>
      <x:c r="L46" s="51" t="str">
        <x:f>IF(J46=0,"OK","Шалгах")</x:f>
        <x:v>OK</x:v>
      </x:c>
      <x:c r="M46" s="51" t="str">
        <x:v>Заслын нийт төсөв</x:v>
      </x:c>
      <x:c r="N46" s="51" t="n">
        <x:v>4</x:v>
      </x:c>
    </x:row>
    <x:row r="47">
      <x:c r="A47" s="51" t="str">
        <x:v>MAT-6R-0033</x:v>
      </x:c>
      <x:c r="B47" s="52" t="str">
        <x:v>Дээврийн ажил</x:v>
      </x:c>
      <x:c r="C47" s="52" t="str">
        <x:v>Хөөсөнцөр 200 мм</x:v>
      </x:c>
      <x:c r="D47" s="52" t="str"/>
      <x:c r="E47" s="52" t="str">
        <x:v>м3</x:v>
      </x:c>
      <x:c r="F47" s="53" t="n">
        <x:v>75</x:v>
      </x:c>
      <x:c r="G47" s="54" t="n">
        <x:v>220000</x:v>
      </x:c>
      <x:c r="H47" s="54" t="n">
        <x:v>16500000</x:v>
      </x:c>
      <x:c r="I47" s="54" t="n">
        <x:f>IF(AND(ISNUMBER(F47),ISNUMBER(G47)),ROUND(F47*G47,0),H47)</x:f>
        <x:v>16500000</x:v>
      </x:c>
      <x:c r="J47" s="54" t="n">
        <x:f>I47-H47</x:f>
        <x:v>0</x:v>
      </x:c>
      <x:c r="K47" s="51" t="str">
        <x:v>Материал</x:v>
      </x:c>
      <x:c r="L47" s="51" t="str">
        <x:f>IF(J47=0,"OK","Шалгах")</x:f>
        <x:v>OK</x:v>
      </x:c>
      <x:c r="M47" s="51" t="str">
        <x:v>Заслын нийт төсөв</x:v>
      </x:c>
      <x:c r="N47" s="51" t="n">
        <x:v>5</x:v>
      </x:c>
    </x:row>
    <x:row r="48">
      <x:c r="A48" s="51" t="str">
        <x:v>MAT-6R-0034</x:v>
      </x:c>
      <x:c r="B48" s="52" t="str">
        <x:v>Дээврийн ажил</x:v>
      </x:c>
      <x:c r="C48" s="52" t="str">
        <x:v>Хөөсөнцөр 100 мм</x:v>
      </x:c>
      <x:c r="D48" s="52" t="str"/>
      <x:c r="E48" s="52" t="str">
        <x:v>м3</x:v>
      </x:c>
      <x:c r="F48" s="53" t="n">
        <x:v>25</x:v>
      </x:c>
      <x:c r="G48" s="54" t="n">
        <x:v>220000</x:v>
      </x:c>
      <x:c r="H48" s="54" t="n">
        <x:v>5500000</x:v>
      </x:c>
      <x:c r="I48" s="54" t="n">
        <x:f>IF(AND(ISNUMBER(F48),ISNUMBER(G48)),ROUND(F48*G48,0),H48)</x:f>
        <x:v>5500000</x:v>
      </x:c>
      <x:c r="J48" s="54" t="n">
        <x:f>I48-H48</x:f>
        <x:v>0</x:v>
      </x:c>
      <x:c r="K48" s="51" t="str">
        <x:v>Материал</x:v>
      </x:c>
      <x:c r="L48" s="51" t="str">
        <x:f>IF(J48=0,"OK","Шалгах")</x:f>
        <x:v>OK</x:v>
      </x:c>
      <x:c r="M48" s="51" t="str">
        <x:v>Заслын нийт төсөв</x:v>
      </x:c>
      <x:c r="N48" s="51" t="n">
        <x:v>6</x:v>
      </x:c>
    </x:row>
    <x:row r="49">
      <x:c r="A49" s="51" t="str">
        <x:v>MAT-6R-0035</x:v>
      </x:c>
      <x:c r="B49" s="52" t="str">
        <x:v>Дээврийн ажил</x:v>
      </x:c>
      <x:c r="C49" s="52" t="str">
        <x:v>Хөөсөнцөр 50 мм</x:v>
      </x:c>
      <x:c r="D49" s="52" t="str"/>
      <x:c r="E49" s="52" t="str">
        <x:v>м3</x:v>
      </x:c>
      <x:c r="F49" s="53" t="n">
        <x:v>30</x:v>
      </x:c>
      <x:c r="G49" s="54" t="n">
        <x:v>220000</x:v>
      </x:c>
      <x:c r="H49" s="54" t="n">
        <x:v>6600000</x:v>
      </x:c>
      <x:c r="I49" s="54" t="n">
        <x:f>IF(AND(ISNUMBER(F49),ISNUMBER(G49)),ROUND(F49*G49,0),H49)</x:f>
        <x:v>6600000</x:v>
      </x:c>
      <x:c r="J49" s="54" t="n">
        <x:f>I49-H49</x:f>
        <x:v>0</x:v>
      </x:c>
      <x:c r="K49" s="51" t="str">
        <x:v>Материал</x:v>
      </x:c>
      <x:c r="L49" s="51" t="str">
        <x:f>IF(J49=0,"OK","Шалгах")</x:f>
        <x:v>OK</x:v>
      </x:c>
      <x:c r="M49" s="51" t="str">
        <x:v>Заслын нийт төсөв</x:v>
      </x:c>
      <x:c r="N49" s="51" t="n">
        <x:v>7</x:v>
      </x:c>
    </x:row>
    <x:row r="50">
      <x:c r="A50" s="51" t="str">
        <x:v>MAT-6R-0036</x:v>
      </x:c>
      <x:c r="B50" s="52" t="str">
        <x:v>Дээврийн ажил</x:v>
      </x:c>
      <x:c r="C50" s="52" t="str">
        <x:v>Керамзит</x:v>
      </x:c>
      <x:c r="D50" s="52" t="str"/>
      <x:c r="E50" s="52" t="str">
        <x:v>м3</x:v>
      </x:c>
      <x:c r="F50" s="53" t="n">
        <x:v>80</x:v>
      </x:c>
      <x:c r="G50" s="54" t="n">
        <x:v>135000</x:v>
      </x:c>
      <x:c r="H50" s="54" t="n">
        <x:v>10800000</x:v>
      </x:c>
      <x:c r="I50" s="54" t="n">
        <x:f>IF(AND(ISNUMBER(F50),ISNUMBER(G50)),ROUND(F50*G50,0),H50)</x:f>
        <x:v>10800000</x:v>
      </x:c>
      <x:c r="J50" s="54" t="n">
        <x:f>I50-H50</x:f>
        <x:v>0</x:v>
      </x:c>
      <x:c r="K50" s="51" t="str">
        <x:v>Материал</x:v>
      </x:c>
      <x:c r="L50" s="51" t="str">
        <x:f>IF(J50=0,"OK","Шалгах")</x:f>
        <x:v>OK</x:v>
      </x:c>
      <x:c r="M50" s="51" t="str">
        <x:v>Заслын нийт төсөв</x:v>
      </x:c>
      <x:c r="N50" s="51" t="n">
        <x:v>8</x:v>
      </x:c>
    </x:row>
    <x:row r="51">
      <x:c r="A51" s="51" t="str">
        <x:v>MAT-6R-0037</x:v>
      </x:c>
      <x:c r="B51" s="52" t="str">
        <x:v>Дээврийн ажил</x:v>
      </x:c>
      <x:c r="C51" s="52" t="str">
        <x:v>Төмөр торон сетка</x:v>
      </x:c>
      <x:c r="D51" s="52" t="str"/>
      <x:c r="E51" s="52" t="str">
        <x:v>м2</x:v>
      </x:c>
      <x:c r="F51" s="53" t="n">
        <x:v>660</x:v>
      </x:c>
      <x:c r="G51" s="54" t="n">
        <x:v>9500</x:v>
      </x:c>
      <x:c r="H51" s="54" t="n">
        <x:v>6270000</x:v>
      </x:c>
      <x:c r="I51" s="54" t="n">
        <x:f>IF(AND(ISNUMBER(F51),ISNUMBER(G51)),ROUND(F51*G51,0),H51)</x:f>
        <x:v>6270000</x:v>
      </x:c>
      <x:c r="J51" s="54" t="n">
        <x:f>I51-H51</x:f>
        <x:v>0</x:v>
      </x:c>
      <x:c r="K51" s="51" t="str">
        <x:v>Материал</x:v>
      </x:c>
      <x:c r="L51" s="51" t="str">
        <x:f>IF(J51=0,"OK","Шалгах")</x:f>
        <x:v>OK</x:v>
      </x:c>
      <x:c r="M51" s="51" t="str">
        <x:v>Заслын нийт төсөв</x:v>
      </x:c>
      <x:c r="N51" s="51" t="n">
        <x:v>9</x:v>
      </x:c>
    </x:row>
    <x:row r="52">
      <x:c r="A52" s="51" t="str">
        <x:v>MAT-6R-0038</x:v>
      </x:c>
      <x:c r="B52" s="52" t="str">
        <x:v>Дээврийн ажил</x:v>
      </x:c>
      <x:c r="C52" s="52" t="str">
        <x:v>Бетон М100</x:v>
      </x:c>
      <x:c r="D52" s="52" t="str"/>
      <x:c r="E52" s="52" t="str">
        <x:v>м3</x:v>
      </x:c>
      <x:c r="F52" s="53" t="n">
        <x:v>62</x:v>
      </x:c>
      <x:c r="G52" s="54" t="n">
        <x:v>335000</x:v>
      </x:c>
      <x:c r="H52" s="54" t="n">
        <x:v>20770000</x:v>
      </x:c>
      <x:c r="I52" s="54" t="n">
        <x:f>IF(AND(ISNUMBER(F52),ISNUMBER(G52)),ROUND(F52*G52,0),H52)</x:f>
        <x:v>20770000</x:v>
      </x:c>
      <x:c r="J52" s="54" t="n">
        <x:f>I52-H52</x:f>
        <x:v>0</x:v>
      </x:c>
      <x:c r="K52" s="51" t="str">
        <x:v>Материал</x:v>
      </x:c>
      <x:c r="L52" s="51" t="str">
        <x:f>IF(J52=0,"OK","Шалгах")</x:f>
        <x:v>OK</x:v>
      </x:c>
      <x:c r="M52" s="51" t="str">
        <x:v>Заслын нийт төсөв</x:v>
      </x:c>
      <x:c r="N52" s="51" t="n">
        <x:v>10</x:v>
      </x:c>
    </x:row>
    <x:row r="53">
      <x:c r="A53" s="51" t="str">
        <x:v>MAT-6R-0039</x:v>
      </x:c>
      <x:c r="B53" s="52" t="str">
        <x:v>Дээврийн ажил</x:v>
      </x:c>
      <x:c r="C53" s="52" t="str">
        <x:v>Амьсгалагч</x:v>
      </x:c>
      <x:c r="D53" s="52" t="str"/>
      <x:c r="E53" s="52" t="str">
        <x:v>ш</x:v>
      </x:c>
      <x:c r="F53" s="53" t="n">
        <x:v>8</x:v>
      </x:c>
      <x:c r="G53" s="54" t="n">
        <x:v>78000</x:v>
      </x:c>
      <x:c r="H53" s="54" t="n">
        <x:v>624000</x:v>
      </x:c>
      <x:c r="I53" s="54" t="n">
        <x:f>IF(AND(ISNUMBER(F53),ISNUMBER(G53)),ROUND(F53*G53,0),H53)</x:f>
        <x:v>624000</x:v>
      </x:c>
      <x:c r="J53" s="54" t="n">
        <x:f>I53-H53</x:f>
        <x:v>0</x:v>
      </x:c>
      <x:c r="K53" s="51" t="str">
        <x:v>Материал</x:v>
      </x:c>
      <x:c r="L53" s="51" t="str">
        <x:f>IF(J53=0,"OK","Шалгах")</x:f>
        <x:v>OK</x:v>
      </x:c>
      <x:c r="M53" s="51" t="str">
        <x:v>Заслын нийт төсөв</x:v>
      </x:c>
      <x:c r="N53" s="51" t="n">
        <x:v>11</x:v>
      </x:c>
    </x:row>
    <x:row r="54">
      <x:c r="A54" s="51" t="str">
        <x:v>MAT-6R-0040</x:v>
      </x:c>
      <x:c r="B54" s="52" t="str">
        <x:v>Дээврийн ажил</x:v>
      </x:c>
      <x:c r="C54" s="52" t="str">
        <x:v>Праймер</x:v>
      </x:c>
      <x:c r="D54" s="52" t="str"/>
      <x:c r="E54" s="52" t="str">
        <x:v>л</x:v>
      </x:c>
      <x:c r="F54" s="53" t="n">
        <x:v>160</x:v>
      </x:c>
      <x:c r="G54" s="54" t="n">
        <x:v>5625</x:v>
      </x:c>
      <x:c r="H54" s="54" t="n">
        <x:v>900000</x:v>
      </x:c>
      <x:c r="I54" s="54" t="n">
        <x:f>IF(AND(ISNUMBER(F54),ISNUMBER(G54)),ROUND(F54*G54,0),H54)</x:f>
        <x:v>900000</x:v>
      </x:c>
      <x:c r="J54" s="54" t="n">
        <x:f>I54-H54</x:f>
        <x:v>0</x:v>
      </x:c>
      <x:c r="K54" s="51" t="str">
        <x:v>Материал</x:v>
      </x:c>
      <x:c r="L54" s="51" t="str">
        <x:f>IF(J54=0,"OK","Шалгах")</x:f>
        <x:v>OK</x:v>
      </x:c>
      <x:c r="M54" s="51" t="str">
        <x:v>Заслын нийт төсөв</x:v>
      </x:c>
      <x:c r="N54" s="51" t="n">
        <x:v>12</x:v>
      </x:c>
    </x:row>
    <x:row r="55">
      <x:c r="A55" s="51" t="str">
        <x:v>MAT-6R-0041</x:v>
      </x:c>
      <x:c r="B55" s="52" t="str">
        <x:v>Дээврийн ажил</x:v>
      </x:c>
      <x:c r="C55" s="52" t="str">
        <x:v>ТехноЭласт /чулуугүй 2 үе/</x:v>
      </x:c>
      <x:c r="D55" s="52" t="str"/>
      <x:c r="E55" s="52" t="str">
        <x:v>м2</x:v>
      </x:c>
      <x:c r="F55" s="53" t="n">
        <x:v>1440</x:v>
      </x:c>
      <x:c r="G55" s="54" t="n">
        <x:v>11800</x:v>
      </x:c>
      <x:c r="H55" s="54" t="n">
        <x:v>16992000</x:v>
      </x:c>
      <x:c r="I55" s="54" t="n">
        <x:f>IF(AND(ISNUMBER(F55),ISNUMBER(G55)),ROUND(F55*G55,0),H55)</x:f>
        <x:v>16992000</x:v>
      </x:c>
      <x:c r="J55" s="54" t="n">
        <x:f>I55-H55</x:f>
        <x:v>0</x:v>
      </x:c>
      <x:c r="K55" s="51" t="str">
        <x:v>Материал</x:v>
      </x:c>
      <x:c r="L55" s="51" t="str">
        <x:f>IF(J55=0,"OK","Шалгах")</x:f>
        <x:v>OK</x:v>
      </x:c>
      <x:c r="M55" s="51" t="str">
        <x:v>Заслын нийт төсөв</x:v>
      </x:c>
      <x:c r="N55" s="51" t="n">
        <x:v>13</x:v>
      </x:c>
    </x:row>
    <x:row r="56">
      <x:c r="A56" s="51" t="str">
        <x:v>MAT-6R-0042</x:v>
      </x:c>
      <x:c r="B56" s="52" t="str">
        <x:v>Дээврийн ажил</x:v>
      </x:c>
      <x:c r="C56" s="52" t="str">
        <x:v>ТехноЭласт /чулуутай 1 үе/</x:v>
      </x:c>
      <x:c r="D56" s="52" t="str"/>
      <x:c r="E56" s="52" t="str">
        <x:v>м2</x:v>
      </x:c>
      <x:c r="F56" s="53" t="n">
        <x:v>720</x:v>
      </x:c>
      <x:c r="G56" s="54" t="n">
        <x:v>12700</x:v>
      </x:c>
      <x:c r="H56" s="54" t="n">
        <x:v>9144000</x:v>
      </x:c>
      <x:c r="I56" s="54" t="n">
        <x:f>IF(AND(ISNUMBER(F56),ISNUMBER(G56)),ROUND(F56*G56,0),H56)</x:f>
        <x:v>9144000</x:v>
      </x:c>
      <x:c r="J56" s="54" t="n">
        <x:f>I56-H56</x:f>
        <x:v>0</x:v>
      </x:c>
      <x:c r="K56" s="51" t="str">
        <x:v>Материал</x:v>
      </x:c>
      <x:c r="L56" s="51" t="str">
        <x:f>IF(J56=0,"OK","Шалгах")</x:f>
        <x:v>OK</x:v>
      </x:c>
      <x:c r="M56" s="51" t="str">
        <x:v>Заслын нийт төсөв</x:v>
      </x:c>
      <x:c r="N56" s="51" t="n">
        <x:v>14</x:v>
      </x:c>
    </x:row>
    <x:row r="57">
      <x:c r="A57" s="51" t="str">
        <x:v>MAT-6R-0043</x:v>
      </x:c>
      <x:c r="B57" s="52" t="str">
        <x:v>Дээврийн ажил</x:v>
      </x:c>
      <x:c r="C57" s="52" t="str">
        <x:v>Полсо /30мм/</x:v>
      </x:c>
      <x:c r="D57" s="52" t="str"/>
      <x:c r="E57" s="52" t="str">
        <x:v>у/м</x:v>
      </x:c>
      <x:c r="F57" s="53" t="n">
        <x:v>310</x:v>
      </x:c>
      <x:c r="G57" s="54" t="n">
        <x:v>3000</x:v>
      </x:c>
      <x:c r="H57" s="54" t="n">
        <x:v>930000</x:v>
      </x:c>
      <x:c r="I57" s="54" t="n">
        <x:f>IF(AND(ISNUMBER(F57),ISNUMBER(G57)),ROUND(F57*G57,0),H57)</x:f>
        <x:v>930000</x:v>
      </x:c>
      <x:c r="J57" s="54" t="n">
        <x:f>I57-H57</x:f>
        <x:v>0</x:v>
      </x:c>
      <x:c r="K57" s="51" t="str">
        <x:v>Материал</x:v>
      </x:c>
      <x:c r="L57" s="51" t="str">
        <x:f>IF(J57=0,"OK","Шалгах")</x:f>
        <x:v>OK</x:v>
      </x:c>
      <x:c r="M57" s="51" t="str">
        <x:v>Заслын нийт төсөв</x:v>
      </x:c>
      <x:c r="N57" s="51" t="n">
        <x:v>15</x:v>
      </x:c>
    </x:row>
    <x:row r="58">
      <x:c r="A58" s="51" t="str">
        <x:v>MAT-6R-0044</x:v>
      </x:c>
      <x:c r="B58" s="52" t="str">
        <x:v>Дээврийн ажил</x:v>
      </x:c>
      <x:c r="C58" s="52" t="str">
        <x:v>Сум, дарь</x:v>
      </x:c>
      <x:c r="D58" s="52" t="str"/>
      <x:c r="E58" s="52" t="str">
        <x:v>ш</x:v>
      </x:c>
      <x:c r="F58" s="53" t="n">
        <x:v>1700</x:v>
      </x:c>
      <x:c r="G58" s="54" t="n">
        <x:v>370</x:v>
      </x:c>
      <x:c r="H58" s="54" t="n">
        <x:v>629000</x:v>
      </x:c>
      <x:c r="I58" s="54" t="n">
        <x:f>IF(AND(ISNUMBER(F58),ISNUMBER(G58)),ROUND(F58*G58,0),H58)</x:f>
        <x:v>629000</x:v>
      </x:c>
      <x:c r="J58" s="54" t="n">
        <x:f>I58-H58</x:f>
        <x:v>0</x:v>
      </x:c>
      <x:c r="K58" s="51" t="str">
        <x:v>Материал</x:v>
      </x:c>
      <x:c r="L58" s="51" t="str">
        <x:f>IF(J58=0,"OK","Шалгах")</x:f>
        <x:v>OK</x:v>
      </x:c>
      <x:c r="M58" s="51" t="str">
        <x:v>Заслын нийт төсөв</x:v>
      </x:c>
      <x:c r="N58" s="51" t="n">
        <x:v>16</x:v>
      </x:c>
    </x:row>
    <x:row r="59">
      <x:c r="A59" s="51" t="str">
        <x:v>MAT-6R-0045</x:v>
      </x:c>
      <x:c r="B59" s="52" t="str">
        <x:v>Дээврийн ажил</x:v>
      </x:c>
      <x:c r="C59" s="52" t="str">
        <x:v>Гааз</x:v>
      </x:c>
      <x:c r="D59" s="52" t="str"/>
      <x:c r="E59" s="52" t="str">
        <x:v>л</x:v>
      </x:c>
      <x:c r="F59" s="53" t="n">
        <x:v>500</x:v>
      </x:c>
      <x:c r="G59" s="54" t="n">
        <x:v>3000</x:v>
      </x:c>
      <x:c r="H59" s="54" t="n">
        <x:v>1500000</x:v>
      </x:c>
      <x:c r="I59" s="54" t="n">
        <x:f>IF(AND(ISNUMBER(F59),ISNUMBER(G59)),ROUND(F59*G59,0),H59)</x:f>
        <x:v>1500000</x:v>
      </x:c>
      <x:c r="J59" s="54" t="n">
        <x:f>I59-H59</x:f>
        <x:v>0</x:v>
      </x:c>
      <x:c r="K59" s="51" t="str">
        <x:v>Материал</x:v>
      </x:c>
      <x:c r="L59" s="51" t="str">
        <x:f>IF(J59=0,"OK","Шалгах")</x:f>
        <x:v>OK</x:v>
      </x:c>
      <x:c r="M59" s="51" t="str">
        <x:v>Заслын нийт төсөв</x:v>
      </x:c>
      <x:c r="N59" s="51" t="n">
        <x:v>17</x:v>
      </x:c>
    </x:row>
    <x:row r="60">
      <x:c r="A60" s="51" t="str">
        <x:v>MAT-6R-0046</x:v>
      </x:c>
      <x:c r="B60" s="52" t="str">
        <x:v>Дээврийн ажил</x:v>
      </x:c>
      <x:c r="C60" s="52" t="str">
        <x:v>Өнхөрүүш /том/</x:v>
      </x:c>
      <x:c r="D60" s="52" t="str"/>
      <x:c r="E60" s="52" t="str">
        <x:v>ш</x:v>
      </x:c>
      <x:c r="F60" s="53" t="n">
        <x:v>15</x:v>
      </x:c>
      <x:c r="G60" s="54" t="n">
        <x:v>3850</x:v>
      </x:c>
      <x:c r="H60" s="54" t="n">
        <x:v>57750</x:v>
      </x:c>
      <x:c r="I60" s="54" t="n">
        <x:f>IF(AND(ISNUMBER(F60),ISNUMBER(G60)),ROUND(F60*G60,0),H60)</x:f>
        <x:v>57750</x:v>
      </x:c>
      <x:c r="J60" s="54" t="n">
        <x:f>I60-H60</x:f>
        <x:v>0</x:v>
      </x:c>
      <x:c r="K60" s="51" t="str">
        <x:v>Материал</x:v>
      </x:c>
      <x:c r="L60" s="51" t="str">
        <x:f>IF(J60=0,"OK","Шалгах")</x:f>
        <x:v>OK</x:v>
      </x:c>
      <x:c r="M60" s="51" t="str">
        <x:v>Заслын нийт төсөв</x:v>
      </x:c>
      <x:c r="N60" s="51" t="n">
        <x:v>18</x:v>
      </x:c>
    </x:row>
    <x:row r="61">
      <x:c r="A61" s="51" t="str">
        <x:v>MAT-6R-0047</x:v>
      </x:c>
      <x:c r="B61" s="52" t="str">
        <x:v>Дээврийн ажил</x:v>
      </x:c>
      <x:c r="C61" s="52" t="str">
        <x:v>Силикон /хиам/</x:v>
      </x:c>
      <x:c r="D61" s="52" t="str"/>
      <x:c r="E61" s="52" t="str">
        <x:v>ш</x:v>
      </x:c>
      <x:c r="F61" s="53" t="n">
        <x:v>80</x:v>
      </x:c>
      <x:c r="G61" s="54" t="n">
        <x:v>22000</x:v>
      </x:c>
      <x:c r="H61" s="54" t="n">
        <x:v>1760000</x:v>
      </x:c>
      <x:c r="I61" s="54" t="n">
        <x:f>IF(AND(ISNUMBER(F61),ISNUMBER(G61)),ROUND(F61*G61,0),H61)</x:f>
        <x:v>1760000</x:v>
      </x:c>
      <x:c r="J61" s="54" t="n">
        <x:f>I61-H61</x:f>
        <x:v>0</x:v>
      </x:c>
      <x:c r="K61" s="51" t="str">
        <x:v>Материал</x:v>
      </x:c>
      <x:c r="L61" s="51" t="str">
        <x:f>IF(J61=0,"OK","Шалгах")</x:f>
        <x:v>OK</x:v>
      </x:c>
      <x:c r="M61" s="51" t="str">
        <x:v>Заслын нийт төсөв</x:v>
      </x:c>
      <x:c r="N61" s="51" t="n">
        <x:v>19</x:v>
      </x:c>
    </x:row>
    <x:row r="62">
      <x:c r="A62" s="51" t="str">
        <x:v>MAT-6R-0048</x:v>
      </x:c>
      <x:c r="B62" s="52" t="str">
        <x:v>Гадна дулаалгын ажил</x:v>
      </x:c>
      <x:c r="C62" s="52" t="str">
        <x:v>Хөөс /9 см/</x:v>
      </x:c>
      <x:c r="D62" s="52" t="str"/>
      <x:c r="E62" s="52" t="str">
        <x:v>м3</x:v>
      </x:c>
      <x:c r="F62" s="53" t="n">
        <x:v>900</x:v>
      </x:c>
      <x:c r="G62" s="54" t="n">
        <x:v>220000</x:v>
      </x:c>
      <x:c r="H62" s="54" t="n">
        <x:v>198000000</x:v>
      </x:c>
      <x:c r="I62" s="54" t="n">
        <x:f>IF(AND(ISNUMBER(F62),ISNUMBER(G62)),ROUND(F62*G62,0),H62)</x:f>
        <x:v>198000000</x:v>
      </x:c>
      <x:c r="J62" s="54" t="n">
        <x:f>I62-H62</x:f>
        <x:v>0</x:v>
      </x:c>
      <x:c r="K62" s="51" t="str">
        <x:v>Материал</x:v>
      </x:c>
      <x:c r="L62" s="51" t="str">
        <x:f>IF(J62=0,"OK","Шалгах")</x:f>
        <x:v>OK</x:v>
      </x:c>
      <x:c r="M62" s="51" t="str">
        <x:v>Заслын нийт төсөв</x:v>
      </x:c>
      <x:c r="N62" s="51" t="n">
        <x:v>21</x:v>
      </x:c>
    </x:row>
    <x:row r="63">
      <x:c r="A63" s="51" t="str">
        <x:v>MAT-6R-0049</x:v>
      </x:c>
      <x:c r="B63" s="52" t="str">
        <x:v>Гадна дулаалгын ажил</x:v>
      </x:c>
      <x:c r="C63" s="52" t="str">
        <x:v>Хөөс /5 см/</x:v>
      </x:c>
      <x:c r="D63" s="52" t="str"/>
      <x:c r="E63" s="52" t="str">
        <x:v>м3</x:v>
      </x:c>
      <x:c r="F63" s="53" t="n">
        <x:v>50</x:v>
      </x:c>
      <x:c r="G63" s="54" t="n">
        <x:v>220000</x:v>
      </x:c>
      <x:c r="H63" s="54" t="n">
        <x:v>11000000</x:v>
      </x:c>
      <x:c r="I63" s="54" t="n">
        <x:f>IF(AND(ISNUMBER(F63),ISNUMBER(G63)),ROUND(F63*G63,0),H63)</x:f>
        <x:v>11000000</x:v>
      </x:c>
      <x:c r="J63" s="54" t="n">
        <x:f>I63-H63</x:f>
        <x:v>0</x:v>
      </x:c>
      <x:c r="K63" s="51" t="str">
        <x:v>Материал</x:v>
      </x:c>
      <x:c r="L63" s="51" t="str">
        <x:f>IF(J63=0,"OK","Шалгах")</x:f>
        <x:v>OK</x:v>
      </x:c>
      <x:c r="M63" s="51" t="str">
        <x:v>Заслын нийт төсөв</x:v>
      </x:c>
      <x:c r="N63" s="51" t="n">
        <x:v>22</x:v>
      </x:c>
    </x:row>
    <x:row r="64">
      <x:c r="A64" s="51" t="str">
        <x:v>MAT-6R-0050</x:v>
      </x:c>
      <x:c r="B64" s="52" t="str">
        <x:v>Гадна дулаалгын ажил</x:v>
      </x:c>
      <x:c r="C64" s="52" t="str">
        <x:v>Зах хөөс</x:v>
      </x:c>
      <x:c r="D64" s="52" t="str"/>
      <x:c r="E64" s="52" t="str">
        <x:v>боод</x:v>
      </x:c>
      <x:c r="F64" s="53" t="n">
        <x:v>10</x:v>
      </x:c>
      <x:c r="G64" s="54" t="n">
        <x:v>40000</x:v>
      </x:c>
      <x:c r="H64" s="54" t="n">
        <x:v>400000</x:v>
      </x:c>
      <x:c r="I64" s="54" t="n">
        <x:f>IF(AND(ISNUMBER(F64),ISNUMBER(G64)),ROUND(F64*G64,0),H64)</x:f>
        <x:v>400000</x:v>
      </x:c>
      <x:c r="J64" s="54" t="n">
        <x:f>I64-H64</x:f>
        <x:v>0</x:v>
      </x:c>
      <x:c r="K64" s="51" t="str">
        <x:v>Материал</x:v>
      </x:c>
      <x:c r="L64" s="51" t="str">
        <x:f>IF(J64=0,"OK","Шалгах")</x:f>
        <x:v>OK</x:v>
      </x:c>
      <x:c r="M64" s="51" t="str">
        <x:v>Заслын нийт төсөв</x:v>
      </x:c>
      <x:c r="N64" s="51" t="n">
        <x:v>23</x:v>
      </x:c>
    </x:row>
    <x:row r="65">
      <x:c r="A65" s="51" t="str">
        <x:v>MAT-6R-0051</x:v>
      </x:c>
      <x:c r="B65" s="52" t="str">
        <x:v>Гадна дулаалгын ажил</x:v>
      </x:c>
      <x:c r="C65" s="52" t="str">
        <x:v>Хадаас, тав/35см/</x:v>
      </x:c>
      <x:c r="D65" s="52" t="str"/>
      <x:c r="E65" s="52" t="str">
        <x:v>ш</x:v>
      </x:c>
      <x:c r="F65" s="53" t="n">
        <x:v>6000</x:v>
      </x:c>
      <x:c r="G65" s="54" t="n">
        <x:v>660</x:v>
      </x:c>
      <x:c r="H65" s="54" t="n">
        <x:v>3960000</x:v>
      </x:c>
      <x:c r="I65" s="54" t="n">
        <x:f>IF(AND(ISNUMBER(F65),ISNUMBER(G65)),ROUND(F65*G65,0),H65)</x:f>
        <x:v>3960000</x:v>
      </x:c>
      <x:c r="J65" s="54" t="n">
        <x:f>I65-H65</x:f>
        <x:v>0</x:v>
      </x:c>
      <x:c r="K65" s="51" t="str">
        <x:v>Материал</x:v>
      </x:c>
      <x:c r="L65" s="51" t="str">
        <x:f>IF(J65=0,"OK","Шалгах")</x:f>
        <x:v>OK</x:v>
      </x:c>
      <x:c r="M65" s="51" t="str">
        <x:v>Заслын нийт төсөв</x:v>
      </x:c>
      <x:c r="N65" s="51" t="n">
        <x:v>24</x:v>
      </x:c>
    </x:row>
    <x:row r="66">
      <x:c r="A66" s="51" t="str">
        <x:v>MAT-6R-0052</x:v>
      </x:c>
      <x:c r="B66" s="52" t="str">
        <x:v>Гадна дулаалгын ажил</x:v>
      </x:c>
      <x:c r="C66" s="52" t="str">
        <x:v>Хадаас, тав/30см/</x:v>
      </x:c>
      <x:c r="D66" s="52" t="str"/>
      <x:c r="E66" s="52" t="str">
        <x:v>ш</x:v>
      </x:c>
      <x:c r="F66" s="53" t="n">
        <x:v>13000</x:v>
      </x:c>
      <x:c r="G66" s="54" t="n">
        <x:v>550</x:v>
      </x:c>
      <x:c r="H66" s="54" t="n">
        <x:v>7150000</x:v>
      </x:c>
      <x:c r="I66" s="54" t="n">
        <x:f>IF(AND(ISNUMBER(F66),ISNUMBER(G66)),ROUND(F66*G66,0),H66)</x:f>
        <x:v>7150000</x:v>
      </x:c>
      <x:c r="J66" s="54" t="n">
        <x:f>I66-H66</x:f>
        <x:v>0</x:v>
      </x:c>
      <x:c r="K66" s="51" t="str">
        <x:v>Материал</x:v>
      </x:c>
      <x:c r="L66" s="51" t="str">
        <x:f>IF(J66=0,"OK","Шалгах")</x:f>
        <x:v>OK</x:v>
      </x:c>
      <x:c r="M66" s="51" t="str">
        <x:v>Заслын нийт төсөв</x:v>
      </x:c>
      <x:c r="N66" s="51" t="n">
        <x:v>25</x:v>
      </x:c>
    </x:row>
    <x:row r="67">
      <x:c r="A67" s="51" t="str">
        <x:v>MAT-6R-0053</x:v>
      </x:c>
      <x:c r="B67" s="52" t="str">
        <x:v>Гадна дулаалгын ажил</x:v>
      </x:c>
      <x:c r="C67" s="52" t="str">
        <x:v>Хадаас, тав/25см/</x:v>
      </x:c>
      <x:c r="D67" s="52" t="str"/>
      <x:c r="E67" s="52" t="str">
        <x:v>ш</x:v>
      </x:c>
      <x:c r="F67" s="53" t="n">
        <x:v>8000</x:v>
      </x:c>
      <x:c r="G67" s="54" t="n">
        <x:v>440</x:v>
      </x:c>
      <x:c r="H67" s="54" t="n">
        <x:v>3520000</x:v>
      </x:c>
      <x:c r="I67" s="54" t="n">
        <x:f>IF(AND(ISNUMBER(F67),ISNUMBER(G67)),ROUND(F67*G67,0),H67)</x:f>
        <x:v>3520000</x:v>
      </x:c>
      <x:c r="J67" s="54" t="n">
        <x:f>I67-H67</x:f>
        <x:v>0</x:v>
      </x:c>
      <x:c r="K67" s="51" t="str">
        <x:v>Материал</x:v>
      </x:c>
      <x:c r="L67" s="51" t="str">
        <x:f>IF(J67=0,"OK","Шалгах")</x:f>
        <x:v>OK</x:v>
      </x:c>
      <x:c r="M67" s="51" t="str">
        <x:v>Заслын нийт төсөв</x:v>
      </x:c>
      <x:c r="N67" s="51" t="n">
        <x:v>26</x:v>
      </x:c>
    </x:row>
    <x:row r="68">
      <x:c r="A68" s="51" t="str">
        <x:v>MAT-6R-0054</x:v>
      </x:c>
      <x:c r="B68" s="52" t="str">
        <x:v>Гадна дулаалгын ажил</x:v>
      </x:c>
      <x:c r="C68" s="52" t="str">
        <x:v>Хадаас, тав/16см/</x:v>
      </x:c>
      <x:c r="D68" s="52" t="str"/>
      <x:c r="E68" s="52" t="str">
        <x:v>ш</x:v>
      </x:c>
      <x:c r="F68" s="53" t="n">
        <x:v>6000</x:v>
      </x:c>
      <x:c r="G68" s="54" t="n">
        <x:v>330</x:v>
      </x:c>
      <x:c r="H68" s="54" t="n">
        <x:v>1980000</x:v>
      </x:c>
      <x:c r="I68" s="54" t="n">
        <x:f>IF(AND(ISNUMBER(F68),ISNUMBER(G68)),ROUND(F68*G68,0),H68)</x:f>
        <x:v>1980000</x:v>
      </x:c>
      <x:c r="J68" s="54" t="n">
        <x:f>I68-H68</x:f>
        <x:v>0</x:v>
      </x:c>
      <x:c r="K68" s="51" t="str">
        <x:v>Материал</x:v>
      </x:c>
      <x:c r="L68" s="51" t="str">
        <x:f>IF(J68=0,"OK","Шалгах")</x:f>
        <x:v>OK</x:v>
      </x:c>
      <x:c r="M68" s="51" t="str">
        <x:v>Заслын нийт төсөв</x:v>
      </x:c>
      <x:c r="N68" s="51" t="n">
        <x:v>27</x:v>
      </x:c>
    </x:row>
    <x:row r="69">
      <x:c r="A69" s="51" t="str">
        <x:v>MAT-6R-0055</x:v>
      </x:c>
      <x:c r="B69" s="52" t="str">
        <x:v>Гадна дулаалгын ажил</x:v>
      </x:c>
      <x:c r="C69" s="52" t="str">
        <x:v>Шахдаг хөөс</x:v>
      </x:c>
      <x:c r="D69" s="52" t="str"/>
      <x:c r="E69" s="52" t="str">
        <x:v>ш</x:v>
      </x:c>
      <x:c r="F69" s="53" t="n">
        <x:v>250</x:v>
      </x:c>
      <x:c r="G69" s="54" t="n">
        <x:v>7700</x:v>
      </x:c>
      <x:c r="H69" s="54" t="n">
        <x:v>1925000</x:v>
      </x:c>
      <x:c r="I69" s="54" t="n">
        <x:f>IF(AND(ISNUMBER(F69),ISNUMBER(G69)),ROUND(F69*G69,0),H69)</x:f>
        <x:v>1925000</x:v>
      </x:c>
      <x:c r="J69" s="54" t="n">
        <x:f>I69-H69</x:f>
        <x:v>0</x:v>
      </x:c>
      <x:c r="K69" s="51" t="str">
        <x:v>Материал</x:v>
      </x:c>
      <x:c r="L69" s="51" t="str">
        <x:f>IF(J69=0,"OK","Шалгах")</x:f>
        <x:v>OK</x:v>
      </x:c>
      <x:c r="M69" s="51" t="str">
        <x:v>Заслын нийт төсөв</x:v>
      </x:c>
      <x:c r="N69" s="51" t="n">
        <x:v>28</x:v>
      </x:c>
    </x:row>
    <x:row r="70">
      <x:c r="A70" s="51" t="str">
        <x:v>MAT-6R-0056</x:v>
      </x:c>
      <x:c r="B70" s="52" t="str">
        <x:v>Гадна дулаалгын ажил</x:v>
      </x:c>
      <x:c r="C70" s="52" t="str">
        <x:v>Фасадны тор</x:v>
      </x:c>
      <x:c r="D70" s="52" t="str"/>
      <x:c r="E70" s="52" t="str">
        <x:v>м2</x:v>
      </x:c>
      <x:c r="F70" s="53" t="n">
        <x:v>5000</x:v>
      </x:c>
      <x:c r="G70" s="54" t="n">
        <x:v>1800</x:v>
      </x:c>
      <x:c r="H70" s="54" t="n">
        <x:v>9000000</x:v>
      </x:c>
      <x:c r="I70" s="54" t="n">
        <x:f>IF(AND(ISNUMBER(F70),ISNUMBER(G70)),ROUND(F70*G70,0),H70)</x:f>
        <x:v>9000000</x:v>
      </x:c>
      <x:c r="J70" s="54" t="n">
        <x:f>I70-H70</x:f>
        <x:v>0</x:v>
      </x:c>
      <x:c r="K70" s="51" t="str">
        <x:v>Материал</x:v>
      </x:c>
      <x:c r="L70" s="51" t="str">
        <x:f>IF(J70=0,"OK","Шалгах")</x:f>
        <x:v>OK</x:v>
      </x:c>
      <x:c r="M70" s="51" t="str">
        <x:v>Заслын нийт төсөв</x:v>
      </x:c>
      <x:c r="N70" s="51" t="n">
        <x:v>29</x:v>
      </x:c>
    </x:row>
    <x:row r="71">
      <x:c r="A71" s="51" t="str">
        <x:v>MAT-6R-0057</x:v>
      </x:c>
      <x:c r="B71" s="52" t="str">
        <x:v>Гадна дулаалгын ажил</x:v>
      </x:c>
      <x:c r="C71" s="52" t="str">
        <x:v>Хар шавар</x:v>
      </x:c>
      <x:c r="D71" s="52" t="str"/>
      <x:c r="E71" s="52" t="str">
        <x:v>кг</x:v>
      </x:c>
      <x:c r="F71" s="53" t="n">
        <x:v>29000</x:v>
      </x:c>
      <x:c r="G71" s="54" t="n">
        <x:v>572</x:v>
      </x:c>
      <x:c r="H71" s="54" t="n">
        <x:v>16588000</x:v>
      </x:c>
      <x:c r="I71" s="54" t="n">
        <x:f>IF(AND(ISNUMBER(F71),ISNUMBER(G71)),ROUND(F71*G71,0),H71)</x:f>
        <x:v>16588000</x:v>
      </x:c>
      <x:c r="J71" s="54" t="n">
        <x:f>I71-H71</x:f>
        <x:v>0</x:v>
      </x:c>
      <x:c r="K71" s="51" t="str">
        <x:v>Материал</x:v>
      </x:c>
      <x:c r="L71" s="51" t="str">
        <x:f>IF(J71=0,"OK","Шалгах")</x:f>
        <x:v>OK</x:v>
      </x:c>
      <x:c r="M71" s="51" t="str">
        <x:v>Заслын нийт төсөв</x:v>
      </x:c>
      <x:c r="N71" s="51" t="n">
        <x:v>30</x:v>
      </x:c>
    </x:row>
    <x:row r="72">
      <x:c r="A72" s="51" t="str">
        <x:v>MAT-6R-0058</x:v>
      </x:c>
      <x:c r="B72" s="52" t="str">
        <x:v>Гадна дулаалгын ажил</x:v>
      </x:c>
      <x:c r="C72" s="52" t="str">
        <x:v>Фасад булан тор</x:v>
      </x:c>
      <x:c r="D72" s="52" t="str"/>
      <x:c r="E72" s="52" t="str">
        <x:v>м</x:v>
      </x:c>
      <x:c r="F72" s="53" t="n">
        <x:v>4400</x:v>
      </x:c>
      <x:c r="G72" s="54" t="n">
        <x:v>2750</x:v>
      </x:c>
      <x:c r="H72" s="54" t="n">
        <x:v>12100000</x:v>
      </x:c>
      <x:c r="I72" s="54" t="n">
        <x:f>IF(AND(ISNUMBER(F72),ISNUMBER(G72)),ROUND(F72*G72,0),H72)</x:f>
        <x:v>12100000</x:v>
      </x:c>
      <x:c r="J72" s="54" t="n">
        <x:f>I72-H72</x:f>
        <x:v>0</x:v>
      </x:c>
      <x:c r="K72" s="51" t="str">
        <x:v>Материал</x:v>
      </x:c>
      <x:c r="L72" s="51" t="str">
        <x:f>IF(J72=0,"OK","Шалгах")</x:f>
        <x:v>OK</x:v>
      </x:c>
      <x:c r="M72" s="51" t="str">
        <x:v>Заслын нийт төсөв</x:v>
      </x:c>
      <x:c r="N72" s="51" t="n">
        <x:v>31</x:v>
      </x:c>
    </x:row>
    <x:row r="73">
      <x:c r="A73" s="51" t="str">
        <x:v>MAT-6R-0059</x:v>
      </x:c>
      <x:c r="B73" s="52" t="str">
        <x:v>Гадна дулаалгын ажил</x:v>
      </x:c>
      <x:c r="C73" s="52" t="str">
        <x:v>Грунт /чулуугүй/</x:v>
      </x:c>
      <x:c r="D73" s="52" t="str"/>
      <x:c r="E73" s="52" t="str">
        <x:v>л</x:v>
      </x:c>
      <x:c r="F73" s="53" t="n">
        <x:v>170</x:v>
      </x:c>
      <x:c r="G73" s="54" t="n">
        <x:v>5211</x:v>
      </x:c>
      <x:c r="H73" s="54" t="n">
        <x:v>885870</x:v>
      </x:c>
      <x:c r="I73" s="54" t="n">
        <x:f>IF(AND(ISNUMBER(F73),ISNUMBER(G73)),ROUND(F73*G73,0),H73)</x:f>
        <x:v>885870</x:v>
      </x:c>
      <x:c r="J73" s="54" t="n">
        <x:f>I73-H73</x:f>
        <x:v>0</x:v>
      </x:c>
      <x:c r="K73" s="51" t="str">
        <x:v>Материал</x:v>
      </x:c>
      <x:c r="L73" s="51" t="str">
        <x:f>IF(J73=0,"OK","Шалгах")</x:f>
        <x:v>OK</x:v>
      </x:c>
      <x:c r="M73" s="51" t="str">
        <x:v>Заслын нийт төсөв</x:v>
      </x:c>
      <x:c r="N73" s="51" t="n">
        <x:v>32</x:v>
      </x:c>
    </x:row>
    <x:row r="74">
      <x:c r="A74" s="51" t="str">
        <x:v>MAT-6R-0060</x:v>
      </x:c>
      <x:c r="B74" s="52" t="str">
        <x:v>Гадна дулаалгын ажил</x:v>
      </x:c>
      <x:c r="C74" s="52" t="str">
        <x:v>Бактур</x:v>
      </x:c>
      <x:c r="D74" s="52" t="str"/>
      <x:c r="E74" s="52" t="str">
        <x:v>кг</x:v>
      </x:c>
      <x:c r="F74" s="53" t="n">
        <x:v>3500</x:v>
      </x:c>
      <x:c r="G74" s="54" t="n">
        <x:v>1672</x:v>
      </x:c>
      <x:c r="H74" s="54" t="n">
        <x:v>5852000</x:v>
      </x:c>
      <x:c r="I74" s="54" t="n">
        <x:f>IF(AND(ISNUMBER(F74),ISNUMBER(G74)),ROUND(F74*G74,0),H74)</x:f>
        <x:v>5852000</x:v>
      </x:c>
      <x:c r="J74" s="54" t="n">
        <x:f>I74-H74</x:f>
        <x:v>0</x:v>
      </x:c>
      <x:c r="K74" s="51" t="str">
        <x:v>Материал</x:v>
      </x:c>
      <x:c r="L74" s="51" t="str">
        <x:f>IF(J74=0,"OK","Шалгах")</x:f>
        <x:v>OK</x:v>
      </x:c>
      <x:c r="M74" s="51" t="str">
        <x:v>Заслын нийт төсөв</x:v>
      </x:c>
      <x:c r="N74" s="51" t="n">
        <x:v>33</x:v>
      </x:c>
    </x:row>
    <x:row r="75">
      <x:c r="A75" s="51" t="str">
        <x:v>MAT-6R-0061</x:v>
      </x:c>
      <x:c r="B75" s="52" t="str">
        <x:v>Гадна дулаалгын ажил</x:v>
      </x:c>
      <x:c r="C75" s="52" t="str">
        <x:v>Гадна эмульс</x:v>
      </x:c>
      <x:c r="D75" s="52" t="str"/>
      <x:c r="E75" s="52" t="str">
        <x:v>л</x:v>
      </x:c>
      <x:c r="F75" s="53" t="n">
        <x:v>2000</x:v>
      </x:c>
      <x:c r="G75" s="54" t="n">
        <x:v>13450</x:v>
      </x:c>
      <x:c r="H75" s="54" t="n">
        <x:v>26900000</x:v>
      </x:c>
      <x:c r="I75" s="54" t="n">
        <x:f>IF(AND(ISNUMBER(F75),ISNUMBER(G75)),ROUND(F75*G75,0),H75)</x:f>
        <x:v>26900000</x:v>
      </x:c>
      <x:c r="J75" s="54" t="n">
        <x:f>I75-H75</x:f>
        <x:v>0</x:v>
      </x:c>
      <x:c r="K75" s="51" t="str">
        <x:v>Материал</x:v>
      </x:c>
      <x:c r="L75" s="51" t="str">
        <x:f>IF(J75=0,"OK","Шалгах")</x:f>
        <x:v>OK</x:v>
      </x:c>
      <x:c r="M75" s="51" t="str">
        <x:v>Заслын нийт төсөв</x:v>
      </x:c>
      <x:c r="N75" s="51" t="n">
        <x:v>34</x:v>
      </x:c>
    </x:row>
    <x:row r="76">
      <x:c r="A76" s="51" t="str">
        <x:v>MAT-6R-0062</x:v>
      </x:c>
      <x:c r="B76" s="52" t="str">
        <x:v>Салхивч, агааржуу-лалтын ажил</x:v>
      </x:c>
      <x:c r="C76" s="52" t="str">
        <x:v>Гөлмөн төмөр 0.6мм</x:v>
      </x:c>
      <x:c r="D76" s="52" t="str"/>
      <x:c r="E76" s="52" t="str">
        <x:v>ш</x:v>
      </x:c>
      <x:c r="F76" s="53" t="n">
        <x:v>1400</x:v>
      </x:c>
      <x:c r="G76" s="54" t="n">
        <x:v>33000</x:v>
      </x:c>
      <x:c r="H76" s="54" t="n">
        <x:v>46200000</x:v>
      </x:c>
      <x:c r="I76" s="54" t="n">
        <x:f>IF(AND(ISNUMBER(F76),ISNUMBER(G76)),ROUND(F76*G76,0),H76)</x:f>
        <x:v>46200000</x:v>
      </x:c>
      <x:c r="J76" s="54" t="n">
        <x:f>I76-H76</x:f>
        <x:v>0</x:v>
      </x:c>
      <x:c r="K76" s="51" t="str">
        <x:v>Материал</x:v>
      </x:c>
      <x:c r="L76" s="51" t="str">
        <x:f>IF(J76=0,"OK","Шалгах")</x:f>
        <x:v>OK</x:v>
      </x:c>
      <x:c r="M76" s="51" t="str">
        <x:v>Заслын нийт төсөв</x:v>
      </x:c>
      <x:c r="N76" s="51" t="n">
        <x:v>36</x:v>
      </x:c>
    </x:row>
    <x:row r="77">
      <x:c r="A77" s="51" t="str">
        <x:v>MAT-6R-0063</x:v>
      </x:c>
      <x:c r="B77" s="52" t="str">
        <x:v>Салхивч, агааржуу-лалтын ажил</x:v>
      </x:c>
      <x:c r="C77" s="52" t="str">
        <x:v>Тасдагчийн ир ф105</x:v>
      </x:c>
      <x:c r="D77" s="52" t="str"/>
      <x:c r="E77" s="52" t="str">
        <x:v>хайр</x:v>
      </x:c>
      <x:c r="F77" s="53" t="n">
        <x:v>8</x:v>
      </x:c>
      <x:c r="G77" s="54" t="n">
        <x:v>17600</x:v>
      </x:c>
      <x:c r="H77" s="54" t="n">
        <x:v>140800</x:v>
      </x:c>
      <x:c r="I77" s="54" t="n">
        <x:f>IF(AND(ISNUMBER(F77),ISNUMBER(G77)),ROUND(F77*G77,0),H77)</x:f>
        <x:v>140800</x:v>
      </x:c>
      <x:c r="J77" s="54" t="n">
        <x:f>I77-H77</x:f>
        <x:v>0</x:v>
      </x:c>
      <x:c r="K77" s="51" t="str">
        <x:v>Материал</x:v>
      </x:c>
      <x:c r="L77" s="51" t="str">
        <x:f>IF(J77=0,"OK","Шалгах")</x:f>
        <x:v>OK</x:v>
      </x:c>
      <x:c r="M77" s="51" t="str">
        <x:v>Заслын нийт төсөв</x:v>
      </x:c>
      <x:c r="N77" s="51" t="n">
        <x:v>37</x:v>
      </x:c>
    </x:row>
    <x:row r="78">
      <x:c r="A78" s="51" t="str">
        <x:v>MAT-6R-0064</x:v>
      </x:c>
      <x:c r="B78" s="52" t="str">
        <x:v>Салхивч, агааржуу-лалтын ажил</x:v>
      </x:c>
      <x:c r="C78" s="52" t="str">
        <x:v>Тасдагчийн ир ф350</x:v>
      </x:c>
      <x:c r="D78" s="52" t="str"/>
      <x:c r="E78" s="52" t="str">
        <x:v>ш</x:v>
      </x:c>
      <x:c r="F78" s="53" t="n">
        <x:v>3</x:v>
      </x:c>
      <x:c r="G78" s="54" t="n">
        <x:v>9350</x:v>
      </x:c>
      <x:c r="H78" s="54" t="n">
        <x:v>28050</x:v>
      </x:c>
      <x:c r="I78" s="54" t="n">
        <x:f>IF(AND(ISNUMBER(F78),ISNUMBER(G78)),ROUND(F78*G78,0),H78)</x:f>
        <x:v>28050</x:v>
      </x:c>
      <x:c r="J78" s="54" t="n">
        <x:f>I78-H78</x:f>
        <x:v>0</x:v>
      </x:c>
      <x:c r="K78" s="51" t="str">
        <x:v>Материал</x:v>
      </x:c>
      <x:c r="L78" s="51" t="str">
        <x:f>IF(J78=0,"OK","Шалгах")</x:f>
        <x:v>OK</x:v>
      </x:c>
      <x:c r="M78" s="51" t="str">
        <x:v>Заслын нийт төсөв</x:v>
      </x:c>
      <x:c r="N78" s="51" t="n">
        <x:v>38</x:v>
      </x:c>
    </x:row>
    <x:row r="79">
      <x:c r="A79" s="51" t="str">
        <x:v>MAT-6R-0065</x:v>
      </x:c>
      <x:c r="B79" s="52" t="str">
        <x:v>Салхивч, агааржуу-лалтын ажил</x:v>
      </x:c>
      <x:c r="C79" s="52" t="str">
        <x:v>Төмрийн шруп ф1.6мм</x:v>
      </x:c>
      <x:c r="D79" s="52" t="str"/>
      <x:c r="E79" s="52" t="str">
        <x:v>хайр</x:v>
      </x:c>
      <x:c r="F79" s="53" t="n">
        <x:v>25</x:v>
      </x:c>
      <x:c r="G79" s="54" t="n">
        <x:v>14300</x:v>
      </x:c>
      <x:c r="H79" s="54" t="n">
        <x:v>357500</x:v>
      </x:c>
      <x:c r="I79" s="54" t="n">
        <x:f>IF(AND(ISNUMBER(F79),ISNUMBER(G79)),ROUND(F79*G79,0),H79)</x:f>
        <x:v>357500</x:v>
      </x:c>
      <x:c r="J79" s="54" t="n">
        <x:f>I79-H79</x:f>
        <x:v>0</x:v>
      </x:c>
      <x:c r="K79" s="51" t="str">
        <x:v>Материал</x:v>
      </x:c>
      <x:c r="L79" s="51" t="str">
        <x:f>IF(J79=0,"OK","Шалгах")</x:f>
        <x:v>OK</x:v>
      </x:c>
      <x:c r="M79" s="51" t="str">
        <x:v>Заслын нийт төсөв</x:v>
      </x:c>
      <x:c r="N79" s="51" t="n">
        <x:v>39</x:v>
      </x:c>
    </x:row>
    <x:row r="80">
      <x:c r="A80" s="51" t="str">
        <x:v>MAT-6R-0066</x:v>
      </x:c>
      <x:c r="B80" s="52" t="str">
        <x:v>Салхивч, агааржуу-лалтын ажил</x:v>
      </x:c>
      <x:c r="C80" s="52" t="str">
        <x:v>Бууны хадаас М8</x:v>
      </x:c>
      <x:c r="D80" s="52" t="str"/>
      <x:c r="E80" s="52" t="str">
        <x:v>хайр</x:v>
      </x:c>
      <x:c r="F80" s="53" t="n">
        <x:v>8</x:v>
      </x:c>
      <x:c r="G80" s="54" t="n">
        <x:v>15000</x:v>
      </x:c>
      <x:c r="H80" s="54" t="n">
        <x:v>120000</x:v>
      </x:c>
      <x:c r="I80" s="54" t="n">
        <x:f>IF(AND(ISNUMBER(F80),ISNUMBER(G80)),ROUND(F80*G80,0),H80)</x:f>
        <x:v>120000</x:v>
      </x:c>
      <x:c r="J80" s="54" t="n">
        <x:f>I80-H80</x:f>
        <x:v>0</x:v>
      </x:c>
      <x:c r="K80" s="51" t="str">
        <x:v>Материал</x:v>
      </x:c>
      <x:c r="L80" s="51" t="str">
        <x:f>IF(J80=0,"OK","Шалгах")</x:f>
        <x:v>OK</x:v>
      </x:c>
      <x:c r="M80" s="51" t="str">
        <x:v>Заслын нийт төсөв</x:v>
      </x:c>
      <x:c r="N80" s="51" t="n">
        <x:v>40</x:v>
      </x:c>
    </x:row>
    <x:row r="81">
      <x:c r="A81" s="51" t="str">
        <x:v>MAT-6R-0067</x:v>
      </x:c>
      <x:c r="B81" s="52" t="str">
        <x:v>Салхивч, агааржуу-лалтын ажил</x:v>
      </x:c>
      <x:c r="C81" s="52" t="str">
        <x:v>Флянз</x:v>
      </x:c>
      <x:c r="D81" s="52" t="str"/>
      <x:c r="E81" s="52" t="str">
        <x:v>м</x:v>
      </x:c>
      <x:c r="F81" s="53" t="n">
        <x:v>1000</x:v>
      </x:c>
      <x:c r="G81" s="54" t="n">
        <x:v>990</x:v>
      </x:c>
      <x:c r="H81" s="54" t="n">
        <x:v>990000</x:v>
      </x:c>
      <x:c r="I81" s="54" t="n">
        <x:f>IF(AND(ISNUMBER(F81),ISNUMBER(G81)),ROUND(F81*G81,0),H81)</x:f>
        <x:v>990000</x:v>
      </x:c>
      <x:c r="J81" s="54" t="n">
        <x:f>I81-H81</x:f>
        <x:v>0</x:v>
      </x:c>
      <x:c r="K81" s="51" t="str">
        <x:v>Материал</x:v>
      </x:c>
      <x:c r="L81" s="51" t="str">
        <x:f>IF(J81=0,"OK","Шалгах")</x:f>
        <x:v>OK</x:v>
      </x:c>
      <x:c r="M81" s="51" t="str">
        <x:v>Заслын нийт төсөв</x:v>
      </x:c>
      <x:c r="N81" s="51" t="n">
        <x:v>41</x:v>
      </x:c>
    </x:row>
    <x:row r="82">
      <x:c r="A82" s="51" t="str">
        <x:v>MAT-6R-0068</x:v>
      </x:c>
      <x:c r="B82" s="52" t="str">
        <x:v>Салхивч, агааржуу-лалтын ажил</x:v>
      </x:c>
      <x:c r="C82" s="52" t="str">
        <x:v>Булан төмөр</x:v>
      </x:c>
      <x:c r="D82" s="52" t="str"/>
      <x:c r="E82" s="52" t="str">
        <x:v>ш</x:v>
      </x:c>
      <x:c r="F82" s="53" t="n">
        <x:v>3000</x:v>
      </x:c>
      <x:c r="G82" s="54" t="n">
        <x:v>2200</x:v>
      </x:c>
      <x:c r="H82" s="54" t="n">
        <x:v>6600000</x:v>
      </x:c>
      <x:c r="I82" s="54" t="n">
        <x:f>IF(AND(ISNUMBER(F82),ISNUMBER(G82)),ROUND(F82*G82,0),H82)</x:f>
        <x:v>6600000</x:v>
      </x:c>
      <x:c r="J82" s="54" t="n">
        <x:f>I82-H82</x:f>
        <x:v>0</x:v>
      </x:c>
      <x:c r="K82" s="51" t="str">
        <x:v>Материал</x:v>
      </x:c>
      <x:c r="L82" s="51" t="str">
        <x:f>IF(J82=0,"OK","Шалгах")</x:f>
        <x:v>OK</x:v>
      </x:c>
      <x:c r="M82" s="51" t="str">
        <x:v>Заслын нийт төсөв</x:v>
      </x:c>
      <x:c r="N82" s="51" t="n">
        <x:v>42</x:v>
      </x:c>
    </x:row>
    <x:row r="83">
      <x:c r="A83" s="51" t="str">
        <x:v>MAT-6R-0069</x:v>
      </x:c>
      <x:c r="B83" s="52" t="str">
        <x:v>Салхивч, агааржуу-лалтын ажил</x:v>
      </x:c>
      <x:c r="C83" s="52" t="str">
        <x:v>Боолт,Гаки ф8</x:v>
      </x:c>
      <x:c r="D83" s="52" t="str"/>
      <x:c r="E83" s="52" t="str">
        <x:v>ш</x:v>
      </x:c>
      <x:c r="F83" s="53" t="n">
        <x:v>1000</x:v>
      </x:c>
      <x:c r="G83" s="54" t="n">
        <x:v>400</x:v>
      </x:c>
      <x:c r="H83" s="54" t="n">
        <x:v>400000</x:v>
      </x:c>
      <x:c r="I83" s="54" t="n">
        <x:f>IF(AND(ISNUMBER(F83),ISNUMBER(G83)),ROUND(F83*G83,0),H83)</x:f>
        <x:v>400000</x:v>
      </x:c>
      <x:c r="J83" s="54" t="n">
        <x:f>I83-H83</x:f>
        <x:v>0</x:v>
      </x:c>
      <x:c r="K83" s="51" t="str">
        <x:v>Материал</x:v>
      </x:c>
      <x:c r="L83" s="51" t="str">
        <x:f>IF(J83=0,"OK","Шалгах")</x:f>
        <x:v>OK</x:v>
      </x:c>
      <x:c r="M83" s="51" t="str">
        <x:v>Заслын нийт төсөв</x:v>
      </x:c>
      <x:c r="N83" s="51" t="n">
        <x:v>43</x:v>
      </x:c>
    </x:row>
    <x:row r="84">
      <x:c r="A84" s="51" t="str">
        <x:v>MAT-6R-0070</x:v>
      </x:c>
      <x:c r="B84" s="52" t="str">
        <x:v>Салхивч, агааржуу-лалтын ажил</x:v>
      </x:c>
      <x:c r="C84" s="52" t="str">
        <x:v>Наалт /пльёнк/</x:v>
      </x:c>
      <x:c r="D84" s="52" t="str"/>
      <x:c r="E84" s="52" t="str">
        <x:v>боод</x:v>
      </x:c>
      <x:c r="F84" s="53" t="n">
        <x:v>50</x:v>
      </x:c>
      <x:c r="G84" s="54" t="n">
        <x:v>1650</x:v>
      </x:c>
      <x:c r="H84" s="54" t="n">
        <x:v>82500</x:v>
      </x:c>
      <x:c r="I84" s="54" t="n">
        <x:f>IF(AND(ISNUMBER(F84),ISNUMBER(G84)),ROUND(F84*G84,0),H84)</x:f>
        <x:v>82500</x:v>
      </x:c>
      <x:c r="J84" s="54" t="n">
        <x:f>I84-H84</x:f>
        <x:v>0</x:v>
      </x:c>
      <x:c r="K84" s="51" t="str">
        <x:v>Материал</x:v>
      </x:c>
      <x:c r="L84" s="51" t="str">
        <x:f>IF(J84=0,"OK","Шалгах")</x:f>
        <x:v>OK</x:v>
      </x:c>
      <x:c r="M84" s="51" t="str">
        <x:v>Заслын нийт төсөв</x:v>
      </x:c>
      <x:c r="N84" s="51" t="n">
        <x:v>44</x:v>
      </x:c>
    </x:row>
    <x:row r="85">
      <x:c r="A85" s="51" t="str">
        <x:v>MAT-6R-0071</x:v>
      </x:c>
      <x:c r="B85" s="52" t="str">
        <x:v>Салхивч, агааржуу-лалтын ажил</x:v>
      </x:c>
      <x:c r="C85" s="52" t="str">
        <x:v>Тогтоогч</x:v>
      </x:c>
      <x:c r="D85" s="52" t="str"/>
      <x:c r="E85" s="52" t="str">
        <x:v>ш</x:v>
      </x:c>
      <x:c r="F85" s="53" t="n">
        <x:v>700</x:v>
      </x:c>
      <x:c r="G85" s="54" t="n">
        <x:v>660</x:v>
      </x:c>
      <x:c r="H85" s="54" t="n">
        <x:v>462000</x:v>
      </x:c>
      <x:c r="I85" s="54" t="n">
        <x:f>IF(AND(ISNUMBER(F85),ISNUMBER(G85)),ROUND(F85*G85,0),H85)</x:f>
        <x:v>462000</x:v>
      </x:c>
      <x:c r="J85" s="54" t="n">
        <x:f>I85-H85</x:f>
        <x:v>0</x:v>
      </x:c>
      <x:c r="K85" s="51" t="str">
        <x:v>Материал</x:v>
      </x:c>
      <x:c r="L85" s="51" t="str">
        <x:f>IF(J85=0,"OK","Шалгах")</x:f>
        <x:v>OK</x:v>
      </x:c>
      <x:c r="M85" s="51" t="str">
        <x:v>Заслын нийт төсөв</x:v>
      </x:c>
      <x:c r="N85" s="51" t="n">
        <x:v>45</x:v>
      </x:c>
    </x:row>
    <x:row r="86">
      <x:c r="A86" s="51" t="str">
        <x:v>MAT-6R-0072</x:v>
      </x:c>
      <x:c r="B86" s="52" t="str">
        <x:v>Салхивч, агааржуу-лалтын ажил</x:v>
      </x:c>
      <x:c r="C86" s="52" t="str">
        <x:v>Хавчаар төмөр</x:v>
      </x:c>
      <x:c r="D86" s="52" t="str"/>
      <x:c r="E86" s="52" t="str">
        <x:v>ш</x:v>
      </x:c>
      <x:c r="F86" s="53" t="n">
        <x:v>300</x:v>
      </x:c>
      <x:c r="G86" s="54" t="n">
        <x:v>660</x:v>
      </x:c>
      <x:c r="H86" s="54" t="n">
        <x:v>198000</x:v>
      </x:c>
      <x:c r="I86" s="54" t="n">
        <x:f>IF(AND(ISNUMBER(F86),ISNUMBER(G86)),ROUND(F86*G86,0),H86)</x:f>
        <x:v>198000</x:v>
      </x:c>
      <x:c r="J86" s="54" t="n">
        <x:f>I86-H86</x:f>
        <x:v>0</x:v>
      </x:c>
      <x:c r="K86" s="51" t="str">
        <x:v>Материал</x:v>
      </x:c>
      <x:c r="L86" s="51" t="str">
        <x:f>IF(J86=0,"OK","Шалгах")</x:f>
        <x:v>OK</x:v>
      </x:c>
      <x:c r="M86" s="51" t="str">
        <x:v>Заслын нийт төсөв</x:v>
      </x:c>
      <x:c r="N86" s="51" t="n">
        <x:v>46</x:v>
      </x:c>
    </x:row>
    <x:row r="87">
      <x:c r="A87" s="51" t="str">
        <x:v>MAT-6R-0073</x:v>
      </x:c>
      <x:c r="B87" s="52" t="str">
        <x:v>Салхивч, агааржуу-лалтын ажил</x:v>
      </x:c>
      <x:c r="C87" s="52" t="str">
        <x:v>Автиркан хошуу</x:v>
      </x:c>
      <x:c r="D87" s="52" t="str"/>
      <x:c r="E87" s="52" t="str">
        <x:v>ш</x:v>
      </x:c>
      <x:c r="F87" s="53" t="n">
        <x:v>20</x:v>
      </x:c>
      <x:c r="G87" s="54" t="n">
        <x:v>1650</x:v>
      </x:c>
      <x:c r="H87" s="54" t="n">
        <x:v>33000</x:v>
      </x:c>
      <x:c r="I87" s="54" t="n">
        <x:f>IF(AND(ISNUMBER(F87),ISNUMBER(G87)),ROUND(F87*G87,0),H87)</x:f>
        <x:v>33000</x:v>
      </x:c>
      <x:c r="J87" s="54" t="n">
        <x:f>I87-H87</x:f>
        <x:v>0</x:v>
      </x:c>
      <x:c r="K87" s="51" t="str">
        <x:v>Материал</x:v>
      </x:c>
      <x:c r="L87" s="51" t="str">
        <x:f>IF(J87=0,"OK","Шалгах")</x:f>
        <x:v>OK</x:v>
      </x:c>
      <x:c r="M87" s="51" t="str">
        <x:v>Заслын нийт төсөв</x:v>
      </x:c>
      <x:c r="N87" s="51" t="n">
        <x:v>47</x:v>
      </x:c>
    </x:row>
    <x:row r="88">
      <x:c r="A88" s="51" t="str">
        <x:v>MAT-6R-0074</x:v>
      </x:c>
      <x:c r="B88" s="52" t="str">
        <x:v>Салхивч, агааржуу-лалтын ажил</x:v>
      </x:c>
      <x:c r="C88" s="52" t="str">
        <x:v>Резва ф8</x:v>
      </x:c>
      <x:c r="D88" s="52" t="str"/>
      <x:c r="E88" s="52" t="str">
        <x:v>м</x:v>
      </x:c>
      <x:c r="F88" s="53" t="n">
        <x:v>300</x:v>
      </x:c>
      <x:c r="G88" s="54" t="n">
        <x:v>3300</x:v>
      </x:c>
      <x:c r="H88" s="54" t="n">
        <x:v>990000</x:v>
      </x:c>
      <x:c r="I88" s="54" t="n">
        <x:f>IF(AND(ISNUMBER(F88),ISNUMBER(G88)),ROUND(F88*G88,0),H88)</x:f>
        <x:v>990000</x:v>
      </x:c>
      <x:c r="J88" s="54" t="n">
        <x:f>I88-H88</x:f>
        <x:v>0</x:v>
      </x:c>
      <x:c r="K88" s="51" t="str">
        <x:v>Материал</x:v>
      </x:c>
      <x:c r="L88" s="51" t="str">
        <x:f>IF(J88=0,"OK","Шалгах")</x:f>
        <x:v>OK</x:v>
      </x:c>
      <x:c r="M88" s="51" t="str">
        <x:v>Заслын нийт төсөв</x:v>
      </x:c>
      <x:c r="N88" s="51" t="n">
        <x:v>48</x:v>
      </x:c>
    </x:row>
    <x:row r="89">
      <x:c r="A89" s="51" t="str">
        <x:v>MAT-6R-0075</x:v>
      </x:c>
      <x:c r="B89" s="52" t="str">
        <x:v>Салхивч, агааржуу-лалтын ажил</x:v>
      </x:c>
      <x:c r="C89" s="52" t="str">
        <x:v>Шилэн хөвөн</x:v>
      </x:c>
      <x:c r="D89" s="52" t="str"/>
      <x:c r="E89" s="52" t="str">
        <x:v>ш</x:v>
      </x:c>
      <x:c r="F89" s="53" t="n">
        <x:v>10</x:v>
      </x:c>
      <x:c r="G89" s="54" t="n">
        <x:v>95000</x:v>
      </x:c>
      <x:c r="H89" s="54" t="n">
        <x:v>950000</x:v>
      </x:c>
      <x:c r="I89" s="54" t="n">
        <x:f>IF(AND(ISNUMBER(F89),ISNUMBER(G89)),ROUND(F89*G89,0),H89)</x:f>
        <x:v>950000</x:v>
      </x:c>
      <x:c r="J89" s="54" t="n">
        <x:f>I89-H89</x:f>
        <x:v>0</x:v>
      </x:c>
      <x:c r="K89" s="51" t="str">
        <x:v>Материал</x:v>
      </x:c>
      <x:c r="L89" s="51" t="str">
        <x:f>IF(J89=0,"OK","Шалгах")</x:f>
        <x:v>OK</x:v>
      </x:c>
      <x:c r="M89" s="51" t="str">
        <x:v>Заслын нийт төсөв</x:v>
      </x:c>
      <x:c r="N89" s="51" t="n">
        <x:v>49</x:v>
      </x:c>
    </x:row>
    <x:row r="90">
      <x:c r="A90" s="51" t="str">
        <x:v>MAT-6R-0076</x:v>
      </x:c>
      <x:c r="B90" s="52" t="str">
        <x:v>Салхивч, агааржуу-лалтын ажил</x:v>
      </x:c>
      <x:c r="C90" s="52" t="str">
        <x:v>Скоч /өнгөгүй/</x:v>
      </x:c>
      <x:c r="D90" s="52" t="str"/>
      <x:c r="E90" s="52" t="str">
        <x:v>ш</x:v>
      </x:c>
      <x:c r="F90" s="53" t="n">
        <x:v>5</x:v>
      </x:c>
      <x:c r="G90" s="54" t="n">
        <x:v>50000</x:v>
      </x:c>
      <x:c r="H90" s="54" t="n">
        <x:v>250000</x:v>
      </x:c>
      <x:c r="I90" s="54" t="n">
        <x:f>IF(AND(ISNUMBER(F90),ISNUMBER(G90)),ROUND(F90*G90,0),H90)</x:f>
        <x:v>250000</x:v>
      </x:c>
      <x:c r="J90" s="54" t="n">
        <x:f>I90-H90</x:f>
        <x:v>0</x:v>
      </x:c>
      <x:c r="K90" s="51" t="str">
        <x:v>Материал</x:v>
      </x:c>
      <x:c r="L90" s="51" t="str">
        <x:f>IF(J90=0,"OK","Шалгах")</x:f>
        <x:v>OK</x:v>
      </x:c>
      <x:c r="M90" s="51" t="str">
        <x:v>Заслын нийт төсөв</x:v>
      </x:c>
      <x:c r="N90" s="51" t="n">
        <x:v>50</x:v>
      </x:c>
    </x:row>
    <x:row r="91">
      <x:c r="A91" s="51" t="str">
        <x:v>MAT-6R-0077</x:v>
      </x:c>
      <x:c r="B91" s="52" t="str">
        <x:v>Салхивч, агааржуу-лалтын ажил</x:v>
      </x:c>
      <x:c r="C91" s="52" t="str">
        <x:v>Скоч /мөнгөлөг /</x:v>
      </x:c>
      <x:c r="D91" s="52" t="str"/>
      <x:c r="E91" s="52" t="str">
        <x:v>ш</x:v>
      </x:c>
      <x:c r="F91" s="53" t="n">
        <x:v>20</x:v>
      </x:c>
      <x:c r="G91" s="54" t="n">
        <x:v>55000</x:v>
      </x:c>
      <x:c r="H91" s="54" t="n">
        <x:v>1100000</x:v>
      </x:c>
      <x:c r="I91" s="54" t="n">
        <x:f>IF(AND(ISNUMBER(F91),ISNUMBER(G91)),ROUND(F91*G91,0),H91)</x:f>
        <x:v>1100000</x:v>
      </x:c>
      <x:c r="J91" s="54" t="n">
        <x:f>I91-H91</x:f>
        <x:v>0</x:v>
      </x:c>
      <x:c r="K91" s="51" t="str">
        <x:v>Материал</x:v>
      </x:c>
      <x:c r="L91" s="51" t="str">
        <x:f>IF(J91=0,"OK","Шалгах")</x:f>
        <x:v>OK</x:v>
      </x:c>
      <x:c r="M91" s="51" t="str">
        <x:v>Заслын нийт төсөв</x:v>
      </x:c>
      <x:c r="N91" s="51" t="n">
        <x:v>51</x:v>
      </x:c>
    </x:row>
    <x:row r="92">
      <x:c r="A92" s="51" t="str">
        <x:v>MAT-6R-0078</x:v>
      </x:c>
      <x:c r="B92" s="52" t="str">
        <x:v>Салхивч, агааржуу-лалтын ажил</x:v>
      </x:c>
      <x:c r="C92" s="52" t="str">
        <x:v>Зөөлөн холбоос</x:v>
      </x:c>
      <x:c r="D92" s="52" t="str"/>
      <x:c r="E92" s="52" t="str">
        <x:v>м</x:v>
      </x:c>
      <x:c r="F92" s="53" t="n">
        <x:v>25</x:v>
      </x:c>
      <x:c r="G92" s="54" t="n">
        <x:v>9900</x:v>
      </x:c>
      <x:c r="H92" s="54" t="n">
        <x:v>247500</x:v>
      </x:c>
      <x:c r="I92" s="54" t="n">
        <x:f>IF(AND(ISNUMBER(F92),ISNUMBER(G92)),ROUND(F92*G92,0),H92)</x:f>
        <x:v>247500</x:v>
      </x:c>
      <x:c r="J92" s="54" t="n">
        <x:f>I92-H92</x:f>
        <x:v>0</x:v>
      </x:c>
      <x:c r="K92" s="51" t="str">
        <x:v>Материал</x:v>
      </x:c>
      <x:c r="L92" s="51" t="str">
        <x:f>IF(J92=0,"OK","Шалгах")</x:f>
        <x:v>OK</x:v>
      </x:c>
      <x:c r="M92" s="51" t="str">
        <x:v>Заслын нийт төсөв</x:v>
      </x:c>
      <x:c r="N92" s="51" t="n">
        <x:v>52</x:v>
      </x:c>
    </x:row>
    <x:row r="93">
      <x:c r="A93" s="51" t="str">
        <x:v>MAT-6R-0079</x:v>
      </x:c>
      <x:c r="B93" s="52" t="str">
        <x:v>Салхивч, агааржуу-лалтын ажил</x:v>
      </x:c>
      <x:c r="C93" s="52" t="str">
        <x:v>Дун сэнс 7,5кв/тех.давхарт/</x:v>
      </x:c>
      <x:c r="D93" s="52" t="str"/>
      <x:c r="E93" s="52" t="str">
        <x:v>ш</x:v>
      </x:c>
      <x:c r="F93" s="53" t="n">
        <x:v>2</x:v>
      </x:c>
      <x:c r="G93" s="54" t="n">
        <x:v>2078000</x:v>
      </x:c>
      <x:c r="H93" s="54" t="n">
        <x:v>4156000</x:v>
      </x:c>
      <x:c r="I93" s="54" t="n">
        <x:f>IF(AND(ISNUMBER(F93),ISNUMBER(G93)),ROUND(F93*G93,0),H93)</x:f>
        <x:v>4156000</x:v>
      </x:c>
      <x:c r="J93" s="54" t="n">
        <x:f>I93-H93</x:f>
        <x:v>0</x:v>
      </x:c>
      <x:c r="K93" s="51" t="str">
        <x:v>Материал</x:v>
      </x:c>
      <x:c r="L93" s="51" t="str">
        <x:f>IF(J93=0,"OK","Шалгах")</x:f>
        <x:v>OK</x:v>
      </x:c>
      <x:c r="M93" s="51" t="str">
        <x:v>Заслын нийт төсөв</x:v>
      </x:c>
      <x:c r="N93" s="51" t="n">
        <x:v>53</x:v>
      </x:c>
    </x:row>
    <x:row r="94">
      <x:c r="A94" s="51" t="str">
        <x:v>MAT-6R-0080</x:v>
      </x:c>
      <x:c r="B94" s="52" t="str">
        <x:v>Салхивч, агааржуу-лалтын ажил</x:v>
      </x:c>
      <x:c r="C94" s="52" t="str">
        <x:v>Дугуй сэнс 5,5кв/тех.давхарт/</x:v>
      </x:c>
      <x:c r="D94" s="52" t="str"/>
      <x:c r="E94" s="52" t="str">
        <x:v>ш</x:v>
      </x:c>
      <x:c r="F94" s="53" t="n">
        <x:v>2</x:v>
      </x:c>
      <x:c r="G94" s="54" t="n">
        <x:v>1850000</x:v>
      </x:c>
      <x:c r="H94" s="54" t="n">
        <x:v>3700000</x:v>
      </x:c>
      <x:c r="I94" s="54" t="n">
        <x:f>IF(AND(ISNUMBER(F94),ISNUMBER(G94)),ROUND(F94*G94,0),H94)</x:f>
        <x:v>3700000</x:v>
      </x:c>
      <x:c r="J94" s="54" t="n">
        <x:f>I94-H94</x:f>
        <x:v>0</x:v>
      </x:c>
      <x:c r="K94" s="51" t="str">
        <x:v>Материал</x:v>
      </x:c>
      <x:c r="L94" s="51" t="str">
        <x:f>IF(J94=0,"OK","Шалгах")</x:f>
        <x:v>OK</x:v>
      </x:c>
      <x:c r="M94" s="51" t="str">
        <x:v>Заслын нийт төсөв</x:v>
      </x:c>
      <x:c r="N94" s="51" t="n">
        <x:v>54</x:v>
      </x:c>
    </x:row>
    <x:row r="95">
      <x:c r="A95" s="51" t="str">
        <x:v>MAT-6R-0081</x:v>
      </x:c>
      <x:c r="B95" s="52" t="str">
        <x:v>Салхивч, агааржуу-лалтын ажил</x:v>
      </x:c>
      <x:c r="C95" s="52" t="str">
        <x:v>Силикон</x:v>
      </x:c>
      <x:c r="D95" s="52" t="str"/>
      <x:c r="E95" s="52" t="str">
        <x:v>ш</x:v>
      </x:c>
      <x:c r="F95" s="53" t="n">
        <x:v>20</x:v>
      </x:c>
      <x:c r="G95" s="54" t="n">
        <x:v>10000</x:v>
      </x:c>
      <x:c r="H95" s="54" t="n">
        <x:v>200000</x:v>
      </x:c>
      <x:c r="I95" s="54" t="n">
        <x:f>IF(AND(ISNUMBER(F95),ISNUMBER(G95)),ROUND(F95*G95,0),H95)</x:f>
        <x:v>200000</x:v>
      </x:c>
      <x:c r="J95" s="54" t="n">
        <x:f>I95-H95</x:f>
        <x:v>0</x:v>
      </x:c>
      <x:c r="K95" s="51" t="str">
        <x:v>Материал</x:v>
      </x:c>
      <x:c r="L95" s="51" t="str">
        <x:f>IF(J95=0,"OK","Шалгах")</x:f>
        <x:v>OK</x:v>
      </x:c>
      <x:c r="M95" s="51" t="str">
        <x:v>Заслын нийт төсөв</x:v>
      </x:c>
      <x:c r="N95" s="51" t="n">
        <x:v>55</x:v>
      </x:c>
    </x:row>
    <x:row r="96">
      <x:c r="A96" s="51" t="str">
        <x:v>MAT-6R-0082</x:v>
      </x:c>
      <x:c r="B96" s="52" t="str">
        <x:v>Салхивч, агааржуу-лалтын ажил</x:v>
      </x:c>
      <x:c r="C96" s="52" t="str">
        <x:v>Шахдаг хөөс</x:v>
      </x:c>
      <x:c r="D96" s="52" t="str"/>
      <x:c r="E96" s="52" t="str">
        <x:v>ш</x:v>
      </x:c>
      <x:c r="F96" s="53" t="n">
        <x:v>15</x:v>
      </x:c>
      <x:c r="G96" s="54" t="n">
        <x:v>13000</x:v>
      </x:c>
      <x:c r="H96" s="54" t="n">
        <x:v>195000</x:v>
      </x:c>
      <x:c r="I96" s="54" t="n">
        <x:f>IF(AND(ISNUMBER(F96),ISNUMBER(G96)),ROUND(F96*G96,0),H96)</x:f>
        <x:v>195000</x:v>
      </x:c>
      <x:c r="J96" s="54" t="n">
        <x:f>I96-H96</x:f>
        <x:v>0</x:v>
      </x:c>
      <x:c r="K96" s="51" t="str">
        <x:v>Материал</x:v>
      </x:c>
      <x:c r="L96" s="51" t="str">
        <x:f>IF(J96=0,"OK","Шалгах")</x:f>
        <x:v>OK</x:v>
      </x:c>
      <x:c r="M96" s="51" t="str">
        <x:v>Заслын нийт төсөв</x:v>
      </x:c>
      <x:c r="N96" s="51" t="n">
        <x:v>56</x:v>
      </x:c>
    </x:row>
    <x:row r="97">
      <x:c r="A97" s="51" t="str">
        <x:v>MAT-6R-0083</x:v>
      </x:c>
      <x:c r="B97" s="52" t="str">
        <x:v>Цонхны ажил</x:v>
      </x:c>
      <x:c r="C97" s="52" t="str">
        <x:v>Балконы хаалт</x:v>
      </x:c>
      <x:c r="D97" s="52" t="str"/>
      <x:c r="E97" s="52" t="str">
        <x:v>м2</x:v>
      </x:c>
      <x:c r="F97" s="53" t="n">
        <x:v>823.98</x:v>
      </x:c>
      <x:c r="G97" s="54" t="n">
        <x:v>330000</x:v>
      </x:c>
      <x:c r="H97" s="54" t="n">
        <x:v>271913400</x:v>
      </x:c>
      <x:c r="I97" s="54" t="n">
        <x:f>IF(AND(ISNUMBER(F97),ISNUMBER(G97)),ROUND(F97*G97,0),H97)</x:f>
        <x:v>271913400</x:v>
      </x:c>
      <x:c r="J97" s="54" t="n">
        <x:f>I97-H97</x:f>
        <x:v>0</x:v>
      </x:c>
      <x:c r="K97" s="51" t="str">
        <x:v>Материал</x:v>
      </x:c>
      <x:c r="L97" s="51" t="str">
        <x:f>IF(J97=0,"OK","Шалгах")</x:f>
        <x:v>OK</x:v>
      </x:c>
      <x:c r="M97" s="51" t="str">
        <x:v>Заслын нийт төсөв</x:v>
      </x:c>
      <x:c r="N97" s="51" t="n">
        <x:v>58</x:v>
      </x:c>
    </x:row>
    <x:row r="98">
      <x:c r="A98" s="51" t="str">
        <x:v>MAT-6R-0084</x:v>
      </x:c>
      <x:c r="B98" s="52" t="str">
        <x:v>Цонхны ажил</x:v>
      </x:c>
      <x:c r="C98" s="52" t="str">
        <x:v>Балконы хаалга</x:v>
      </x:c>
      <x:c r="D98" s="52" t="str"/>
      <x:c r="E98" s="52" t="str">
        <x:v>м2</x:v>
      </x:c>
      <x:c r="F98" s="53" t="n">
        <x:v>233.05</x:v>
      </x:c>
      <x:c r="G98" s="54" t="n">
        <x:v>480000</x:v>
      </x:c>
      <x:c r="H98" s="54" t="n">
        <x:v>111864000</x:v>
      </x:c>
      <x:c r="I98" s="54" t="n">
        <x:f>IF(AND(ISNUMBER(F98),ISNUMBER(G98)),ROUND(F98*G98,0),H98)</x:f>
        <x:v>111864000</x:v>
      </x:c>
      <x:c r="J98" s="54" t="n">
        <x:f>I98-H98</x:f>
        <x:v>0</x:v>
      </x:c>
      <x:c r="K98" s="51" t="str">
        <x:v>Материал</x:v>
      </x:c>
      <x:c r="L98" s="51" t="str">
        <x:f>IF(J98=0,"OK","Шалгах")</x:f>
        <x:v>OK</x:v>
      </x:c>
      <x:c r="M98" s="51" t="str">
        <x:v>Заслын нийт төсөв</x:v>
      </x:c>
      <x:c r="N98" s="51" t="n">
        <x:v>59</x:v>
      </x:c>
    </x:row>
    <x:row r="99">
      <x:c r="A99" s="51" t="str">
        <x:v>MAT-6R-0085</x:v>
      </x:c>
      <x:c r="B99" s="52" t="str">
        <x:v>Цонхны ажил</x:v>
      </x:c>
      <x:c r="C99" s="52" t="str">
        <x:v>Цонх</x:v>
      </x:c>
      <x:c r="D99" s="52" t="str"/>
      <x:c r="E99" s="52" t="str">
        <x:v>м2</x:v>
      </x:c>
      <x:c r="F99" s="53" t="n">
        <x:v>941.54</x:v>
      </x:c>
      <x:c r="G99" s="54" t="n">
        <x:v>480000</x:v>
      </x:c>
      <x:c r="H99" s="54" t="n">
        <x:v>451939200</x:v>
      </x:c>
      <x:c r="I99" s="54" t="n">
        <x:f>IF(AND(ISNUMBER(F99),ISNUMBER(G99)),ROUND(F99*G99,0),H99)</x:f>
        <x:v>451939200</x:v>
      </x:c>
      <x:c r="J99" s="54" t="n">
        <x:f>I99-H99</x:f>
        <x:v>0</x:v>
      </x:c>
      <x:c r="K99" s="51" t="str">
        <x:v>Материал</x:v>
      </x:c>
      <x:c r="L99" s="51" t="str">
        <x:f>IF(J99=0,"OK","Шалгах")</x:f>
        <x:v>OK</x:v>
      </x:c>
      <x:c r="M99" s="51" t="str">
        <x:v>Заслын нийт төсөв</x:v>
      </x:c>
      <x:c r="N99" s="51" t="n">
        <x:v>60</x:v>
      </x:c>
    </x:row>
    <x:row r="100">
      <x:c r="A100" s="51" t="str">
        <x:v>MAT-6R-0086</x:v>
      </x:c>
      <x:c r="B100" s="52" t="str">
        <x:v>Цонхны ажил</x:v>
      </x:c>
      <x:c r="C100" s="52" t="str">
        <x:v>Хөөс</x:v>
      </x:c>
      <x:c r="D100" s="52" t="str"/>
      <x:c r="E100" s="52" t="str">
        <x:v>ш</x:v>
      </x:c>
      <x:c r="F100" s="53" t="n">
        <x:v>222</x:v>
      </x:c>
      <x:c r="G100" s="54" t="n">
        <x:v>7700</x:v>
      </x:c>
      <x:c r="H100" s="54" t="n">
        <x:v>1709400</x:v>
      </x:c>
      <x:c r="I100" s="54" t="n">
        <x:f>IF(AND(ISNUMBER(F100),ISNUMBER(G100)),ROUND(F100*G100,0),H100)</x:f>
        <x:v>1709400</x:v>
      </x:c>
      <x:c r="J100" s="54" t="n">
        <x:f>I100-H100</x:f>
        <x:v>0</x:v>
      </x:c>
      <x:c r="K100" s="51" t="str">
        <x:v>Материал</x:v>
      </x:c>
      <x:c r="L100" s="51" t="str">
        <x:f>IF(J100=0,"OK","Шалгах")</x:f>
        <x:v>OK</x:v>
      </x:c>
      <x:c r="M100" s="51" t="str">
        <x:v>Заслын нийт төсөв</x:v>
      </x:c>
      <x:c r="N100" s="51" t="n">
        <x:v>61</x:v>
      </x:c>
    </x:row>
    <x:row r="101">
      <x:c r="A101" s="51" t="str">
        <x:v>MAT-6R-0087</x:v>
      </x:c>
      <x:c r="B101" s="52" t="str">
        <x:v>Өрлөг, шаврын ажил</x:v>
      </x:c>
      <x:c r="C101" s="52" t="str">
        <x:v>Блок /200мм/</x:v>
      </x:c>
      <x:c r="D101" s="52" t="str"/>
      <x:c r="E101" s="52" t="str">
        <x:v>м3</x:v>
      </x:c>
      <x:c r="F101" s="53" t="n">
        <x:v>457</x:v>
      </x:c>
      <x:c r="G101" s="54" t="n">
        <x:v>319000</x:v>
      </x:c>
      <x:c r="H101" s="54" t="n">
        <x:v>145783000</x:v>
      </x:c>
      <x:c r="I101" s="54" t="n">
        <x:f>IF(AND(ISNUMBER(F101),ISNUMBER(G101)),ROUND(F101*G101,0),H101)</x:f>
        <x:v>145783000</x:v>
      </x:c>
      <x:c r="J101" s="54" t="n">
        <x:f>I101-H101</x:f>
        <x:v>0</x:v>
      </x:c>
      <x:c r="K101" s="51" t="str">
        <x:v>Материал</x:v>
      </x:c>
      <x:c r="L101" s="51" t="str">
        <x:f>IF(J101=0,"OK","Шалгах")</x:f>
        <x:v>OK</x:v>
      </x:c>
      <x:c r="M101" s="51" t="str">
        <x:v>Заслын нийт төсөв</x:v>
      </x:c>
      <x:c r="N101" s="51" t="n">
        <x:v>63</x:v>
      </x:c>
    </x:row>
    <x:row r="102">
      <x:c r="A102" s="51" t="str">
        <x:v>MAT-6R-0088</x:v>
      </x:c>
      <x:c r="B102" s="52" t="str">
        <x:v>Өрлөг, шаврын ажил</x:v>
      </x:c>
      <x:c r="C102" s="52" t="str">
        <x:v>Блок /120мм/</x:v>
      </x:c>
      <x:c r="D102" s="52" t="str"/>
      <x:c r="E102" s="52" t="str">
        <x:v>м3</x:v>
      </x:c>
      <x:c r="F102" s="53" t="n">
        <x:v>67</x:v>
      </x:c>
      <x:c r="G102" s="54" t="n">
        <x:v>319000</x:v>
      </x:c>
      <x:c r="H102" s="54" t="n">
        <x:v>21373000</x:v>
      </x:c>
      <x:c r="I102" s="54" t="n">
        <x:f>IF(AND(ISNUMBER(F102),ISNUMBER(G102)),ROUND(F102*G102,0),H102)</x:f>
        <x:v>21373000</x:v>
      </x:c>
      <x:c r="J102" s="54" t="n">
        <x:f>I102-H102</x:f>
        <x:v>0</x:v>
      </x:c>
      <x:c r="K102" s="51" t="str">
        <x:v>Материал</x:v>
      </x:c>
      <x:c r="L102" s="51" t="str">
        <x:f>IF(J102=0,"OK","Шалгах")</x:f>
        <x:v>OK</x:v>
      </x:c>
      <x:c r="M102" s="51" t="str">
        <x:v>Заслын нийт төсөв</x:v>
      </x:c>
      <x:c r="N102" s="51" t="n">
        <x:v>64</x:v>
      </x:c>
    </x:row>
    <x:row r="103">
      <x:c r="A103" s="51" t="str">
        <x:v>MAT-6R-0089</x:v>
      </x:c>
      <x:c r="B103" s="52" t="str">
        <x:v>Өрлөг, шаврын ажил</x:v>
      </x:c>
      <x:c r="C103" s="52" t="str">
        <x:v>Ялуу Я-15</x:v>
      </x:c>
      <x:c r="D103" s="52" t="str"/>
      <x:c r="E103" s="52" t="str">
        <x:v>ш</x:v>
      </x:c>
      <x:c r="F103" s="53" t="n">
        <x:v>130</x:v>
      </x:c>
      <x:c r="G103" s="54" t="n">
        <x:v>22255</x:v>
      </x:c>
      <x:c r="H103" s="54" t="n">
        <x:v>2893150</x:v>
      </x:c>
      <x:c r="I103" s="54" t="n">
        <x:f>IF(AND(ISNUMBER(F103),ISNUMBER(G103)),ROUND(F103*G103,0),H103)</x:f>
        <x:v>2893150</x:v>
      </x:c>
      <x:c r="J103" s="54" t="n">
        <x:f>I103-H103</x:f>
        <x:v>0</x:v>
      </x:c>
      <x:c r="K103" s="51" t="str">
        <x:v>Материал</x:v>
      </x:c>
      <x:c r="L103" s="51" t="str">
        <x:f>IF(J103=0,"OK","Шалгах")</x:f>
        <x:v>OK</x:v>
      </x:c>
      <x:c r="M103" s="51" t="str">
        <x:v>Заслын нийт төсөв</x:v>
      </x:c>
      <x:c r="N103" s="51" t="n">
        <x:v>65</x:v>
      </x:c>
    </x:row>
    <x:row r="104">
      <x:c r="A104" s="51" t="str">
        <x:v>MAT-6R-0090</x:v>
      </x:c>
      <x:c r="B104" s="52" t="str">
        <x:v>Өрлөг, шаврын ажил</x:v>
      </x:c>
      <x:c r="C104" s="52" t="str">
        <x:v>Өрлөгийн сетек /200мм/</x:v>
      </x:c>
      <x:c r="D104" s="52" t="str"/>
      <x:c r="E104" s="52" t="str">
        <x:v>м</x:v>
      </x:c>
      <x:c r="F104" s="53" t="n">
        <x:v>2280</x:v>
      </x:c>
      <x:c r="G104" s="54" t="n">
        <x:v>770</x:v>
      </x:c>
      <x:c r="H104" s="54" t="n">
        <x:v>1755600</x:v>
      </x:c>
      <x:c r="I104" s="54" t="n">
        <x:f>IF(AND(ISNUMBER(F104),ISNUMBER(G104)),ROUND(F104*G104,0),H104)</x:f>
        <x:v>1755600</x:v>
      </x:c>
      <x:c r="J104" s="54" t="n">
        <x:f>I104-H104</x:f>
        <x:v>0</x:v>
      </x:c>
      <x:c r="K104" s="51" t="str">
        <x:v>Материал</x:v>
      </x:c>
      <x:c r="L104" s="51" t="str">
        <x:f>IF(J104=0,"OK","Шалгах")</x:f>
        <x:v>OK</x:v>
      </x:c>
      <x:c r="M104" s="51" t="str">
        <x:v>Заслын нийт төсөв</x:v>
      </x:c>
      <x:c r="N104" s="51" t="n">
        <x:v>66</x:v>
      </x:c>
    </x:row>
    <x:row r="105">
      <x:c r="A105" s="51" t="str">
        <x:v>MAT-6R-0091</x:v>
      </x:c>
      <x:c r="B105" s="52" t="str">
        <x:v>Өрлөг, шаврын ажил</x:v>
      </x:c>
      <x:c r="C105" s="52" t="str">
        <x:v>Өрлөгийн сетек /120мм/</x:v>
      </x:c>
      <x:c r="D105" s="52" t="str"/>
      <x:c r="E105" s="52" t="str">
        <x:v>м</x:v>
      </x:c>
      <x:c r="F105" s="53" t="n">
        <x:v>670</x:v>
      </x:c>
      <x:c r="G105" s="54" t="n">
        <x:v>660</x:v>
      </x:c>
      <x:c r="H105" s="54" t="n">
        <x:v>442200</x:v>
      </x:c>
      <x:c r="I105" s="54" t="n">
        <x:f>IF(AND(ISNUMBER(F105),ISNUMBER(G105)),ROUND(F105*G105,0),H105)</x:f>
        <x:v>442200</x:v>
      </x:c>
      <x:c r="J105" s="54" t="n">
        <x:f>I105-H105</x:f>
        <x:v>0</x:v>
      </x:c>
      <x:c r="K105" s="51" t="str">
        <x:v>Материал</x:v>
      </x:c>
      <x:c r="L105" s="51" t="str">
        <x:f>IF(J105=0,"OK","Шалгах")</x:f>
        <x:v>OK</x:v>
      </x:c>
      <x:c r="M105" s="51" t="str">
        <x:v>Заслын нийт төсөв</x:v>
      </x:c>
      <x:c r="N105" s="51" t="n">
        <x:v>67</x:v>
      </x:c>
    </x:row>
    <x:row r="106">
      <x:c r="A106" s="51" t="str">
        <x:v>MAT-6R-0092</x:v>
      </x:c>
      <x:c r="B106" s="52" t="str">
        <x:v>Өрлөг, шаврын ажил</x:v>
      </x:c>
      <x:c r="C106" s="52" t="str">
        <x:v>Өргийн цавуу</x:v>
      </x:c>
      <x:c r="D106" s="52" t="str"/>
      <x:c r="E106" s="52" t="str">
        <x:v>кг</x:v>
      </x:c>
      <x:c r="F106" s="53" t="n">
        <x:v>17700</x:v>
      </x:c>
      <x:c r="G106" s="54" t="n">
        <x:v>528</x:v>
      </x:c>
      <x:c r="H106" s="54" t="n">
        <x:v>9345600</x:v>
      </x:c>
      <x:c r="I106" s="54" t="n">
        <x:f>IF(AND(ISNUMBER(F106),ISNUMBER(G106)),ROUND(F106*G106,0),H106)</x:f>
        <x:v>9345600</x:v>
      </x:c>
      <x:c r="J106" s="54" t="n">
        <x:f>I106-H106</x:f>
        <x:v>0</x:v>
      </x:c>
      <x:c r="K106" s="51" t="str">
        <x:v>Материал</x:v>
      </x:c>
      <x:c r="L106" s="51" t="str">
        <x:f>IF(J106=0,"OK","Шалгах")</x:f>
        <x:v>OK</x:v>
      </x:c>
      <x:c r="M106" s="51" t="str">
        <x:v>Заслын нийт төсөв</x:v>
      </x:c>
      <x:c r="N106" s="51" t="n">
        <x:v>68</x:v>
      </x:c>
    </x:row>
    <x:row r="107">
      <x:c r="A107" s="51" t="str">
        <x:v>MAT-6R-0093</x:v>
      </x:c>
      <x:c r="B107" s="52" t="str">
        <x:v>Өрлөг, шаврын ажил</x:v>
      </x:c>
      <x:c r="C107" s="52" t="str">
        <x:v>Чигийн утас</x:v>
      </x:c>
      <x:c r="D107" s="52" t="str"/>
      <x:c r="E107" s="52" t="str">
        <x:v>ш</x:v>
      </x:c>
      <x:c r="F107" s="53" t="n">
        <x:v>53</x:v>
      </x:c>
      <x:c r="G107" s="54" t="n">
        <x:v>982</x:v>
      </x:c>
      <x:c r="H107" s="54" t="n">
        <x:v>52046</x:v>
      </x:c>
      <x:c r="I107" s="54" t="n">
        <x:f>IF(AND(ISNUMBER(F107),ISNUMBER(G107)),ROUND(F107*G107,0),H107)</x:f>
        <x:v>52046</x:v>
      </x:c>
      <x:c r="J107" s="54" t="n">
        <x:f>I107-H107</x:f>
        <x:v>0</x:v>
      </x:c>
      <x:c r="K107" s="51" t="str">
        <x:v>Материал</x:v>
      </x:c>
      <x:c r="L107" s="51" t="str">
        <x:f>IF(J107=0,"OK","Шалгах")</x:f>
        <x:v>OK</x:v>
      </x:c>
      <x:c r="M107" s="51" t="str">
        <x:v>Заслын нийт төсөв</x:v>
      </x:c>
      <x:c r="N107" s="51" t="n">
        <x:v>69</x:v>
      </x:c>
    </x:row>
    <x:row r="108">
      <x:c r="A108" s="51" t="str">
        <x:v>MAT-6R-0094</x:v>
      </x:c>
      <x:c r="B108" s="52" t="str">
        <x:v>Өрлөг, шаврын ажил</x:v>
      </x:c>
      <x:c r="C108" s="52" t="str">
        <x:v>Шахдаг хөөс</x:v>
      </x:c>
      <x:c r="D108" s="52" t="str"/>
      <x:c r="E108" s="52" t="str">
        <x:v>ш</x:v>
      </x:c>
      <x:c r="F108" s="53" t="n">
        <x:v>123</x:v>
      </x:c>
      <x:c r="G108" s="54" t="n">
        <x:v>7700</x:v>
      </x:c>
      <x:c r="H108" s="54" t="n">
        <x:v>947100</x:v>
      </x:c>
      <x:c r="I108" s="54" t="n">
        <x:f>IF(AND(ISNUMBER(F108),ISNUMBER(G108)),ROUND(F108*G108,0),H108)</x:f>
        <x:v>947100</x:v>
      </x:c>
      <x:c r="J108" s="54" t="n">
        <x:f>I108-H108</x:f>
        <x:v>0</x:v>
      </x:c>
      <x:c r="K108" s="51" t="str">
        <x:v>Материал</x:v>
      </x:c>
      <x:c r="L108" s="51" t="str">
        <x:f>IF(J108=0,"OK","Шалгах")</x:f>
        <x:v>OK</x:v>
      </x:c>
      <x:c r="M108" s="51" t="str">
        <x:v>Заслын нийт төсөв</x:v>
      </x:c>
      <x:c r="N108" s="51" t="n">
        <x:v>70</x:v>
      </x:c>
    </x:row>
    <x:row r="109">
      <x:c r="A109" s="51" t="str">
        <x:v>MAT-6R-0095</x:v>
      </x:c>
      <x:c r="B109" s="52" t="str">
        <x:v>Өрлөг, шаврын ажил</x:v>
      </x:c>
      <x:c r="C109" s="52" t="str">
        <x:v>Бетоны хадаас /4см/</x:v>
      </x:c>
      <x:c r="D109" s="52" t="str"/>
      <x:c r="E109" s="52" t="str">
        <x:v>хайр</x:v>
      </x:c>
      <x:c r="F109" s="53" t="n">
        <x:v>53</x:v>
      </x:c>
      <x:c r="G109" s="54" t="n">
        <x:v>2598</x:v>
      </x:c>
      <x:c r="H109" s="54" t="n">
        <x:v>137694</x:v>
      </x:c>
      <x:c r="I109" s="54" t="n">
        <x:f>IF(AND(ISNUMBER(F109),ISNUMBER(G109)),ROUND(F109*G109,0),H109)</x:f>
        <x:v>137694</x:v>
      </x:c>
      <x:c r="J109" s="54" t="n">
        <x:f>I109-H109</x:f>
        <x:v>0</x:v>
      </x:c>
      <x:c r="K109" s="51" t="str">
        <x:v>Материал</x:v>
      </x:c>
      <x:c r="L109" s="51" t="str">
        <x:f>IF(J109=0,"OK","Шалгах")</x:f>
        <x:v>OK</x:v>
      </x:c>
      <x:c r="M109" s="51" t="str">
        <x:v>Заслын нийт төсөв</x:v>
      </x:c>
      <x:c r="N109" s="51" t="n">
        <x:v>71</x:v>
      </x:c>
    </x:row>
    <x:row r="110">
      <x:c r="A110" s="51" t="str">
        <x:v>MAT-6R-0096</x:v>
      </x:c>
      <x:c r="B110" s="52" t="str">
        <x:v>Өрлөг, шаврын ажил</x:v>
      </x:c>
      <x:c r="C110" s="52" t="str">
        <x:v>Ротбанд</x:v>
      </x:c>
      <x:c r="D110" s="52" t="str"/>
      <x:c r="E110" s="52" t="str">
        <x:v>кг</x:v>
      </x:c>
      <x:c r="F110" s="53" t="n">
        <x:v>12000</x:v>
      </x:c>
      <x:c r="G110" s="54" t="n">
        <x:v>1000</x:v>
      </x:c>
      <x:c r="H110" s="54" t="n">
        <x:v>12000000</x:v>
      </x:c>
      <x:c r="I110" s="54" t="n">
        <x:f>IF(AND(ISNUMBER(F110),ISNUMBER(G110)),ROUND(F110*G110,0),H110)</x:f>
        <x:v>12000000</x:v>
      </x:c>
      <x:c r="J110" s="54" t="n">
        <x:f>I110-H110</x:f>
        <x:v>0</x:v>
      </x:c>
      <x:c r="K110" s="51" t="str">
        <x:v>Материал</x:v>
      </x:c>
      <x:c r="L110" s="51" t="str">
        <x:f>IF(J110=0,"OK","Шалгах")</x:f>
        <x:v>OK</x:v>
      </x:c>
      <x:c r="M110" s="51" t="str">
        <x:v>Заслын нийт төсөв</x:v>
      </x:c>
      <x:c r="N110" s="51" t="n">
        <x:v>72</x:v>
      </x:c>
    </x:row>
    <x:row r="111">
      <x:c r="A111" s="51" t="str">
        <x:v>MAT-6R-0097</x:v>
      </x:c>
      <x:c r="B111" s="52" t="str">
        <x:v>Өрлөг, шаврын ажил</x:v>
      </x:c>
      <x:c r="C111" s="52" t="str">
        <x:v>107 цавуу /шиф/</x:v>
      </x:c>
      <x:c r="D111" s="52" t="str"/>
      <x:c r="E111" s="52" t="str">
        <x:v>ш</x:v>
      </x:c>
      <x:c r="F111" s="53" t="n">
        <x:v>355</x:v>
      </x:c>
      <x:c r="G111" s="54" t="n">
        <x:v>2068</x:v>
      </x:c>
      <x:c r="H111" s="54" t="n">
        <x:v>734140</x:v>
      </x:c>
      <x:c r="I111" s="54" t="n">
        <x:f>IF(AND(ISNUMBER(F111),ISNUMBER(G111)),ROUND(F111*G111,0),H111)</x:f>
        <x:v>734140</x:v>
      </x:c>
      <x:c r="J111" s="54" t="n">
        <x:f>I111-H111</x:f>
        <x:v>0</x:v>
      </x:c>
      <x:c r="K111" s="51" t="str">
        <x:v>Материал</x:v>
      </x:c>
      <x:c r="L111" s="51" t="str">
        <x:f>IF(J111=0,"OK","Шалгах")</x:f>
        <x:v>OK</x:v>
      </x:c>
      <x:c r="M111" s="51" t="str">
        <x:v>Заслын нийт төсөв</x:v>
      </x:c>
      <x:c r="N111" s="51" t="n">
        <x:v>73</x:v>
      </x:c>
    </x:row>
    <x:row r="112">
      <x:c r="A112" s="51" t="str">
        <x:v>MAT-6R-0098</x:v>
      </x:c>
      <x:c r="B112" s="52" t="str">
        <x:v>Өрлөг, шаврын ажил</x:v>
      </x:c>
      <x:c r="C112" s="52" t="str">
        <x:v>Цемент</x:v>
      </x:c>
      <x:c r="D112" s="52" t="str"/>
      <x:c r="E112" s="52" t="str">
        <x:v>тн</x:v>
      </x:c>
      <x:c r="F112" s="53" t="n">
        <x:v>142</x:v>
      </x:c>
      <x:c r="G112" s="54" t="n">
        <x:v>290000</x:v>
      </x:c>
      <x:c r="H112" s="54" t="n">
        <x:v>41180000</x:v>
      </x:c>
      <x:c r="I112" s="54" t="n">
        <x:f>IF(AND(ISNUMBER(F112),ISNUMBER(G112)),ROUND(F112*G112,0),H112)</x:f>
        <x:v>41180000</x:v>
      </x:c>
      <x:c r="J112" s="54" t="n">
        <x:f>I112-H112</x:f>
        <x:v>0</x:v>
      </x:c>
      <x:c r="K112" s="51" t="str">
        <x:v>Материал</x:v>
      </x:c>
      <x:c r="L112" s="51" t="str">
        <x:f>IF(J112=0,"OK","Шалгах")</x:f>
        <x:v>OK</x:v>
      </x:c>
      <x:c r="M112" s="51" t="str">
        <x:v>Заслын нийт төсөв</x:v>
      </x:c>
      <x:c r="N112" s="51" t="n">
        <x:v>74</x:v>
      </x:c>
    </x:row>
    <x:row r="113">
      <x:c r="A113" s="51" t="str">
        <x:v>MAT-6R-0099</x:v>
      </x:c>
      <x:c r="B113" s="52" t="str">
        <x:v>Өрлөг, шаврын ажил</x:v>
      </x:c>
      <x:c r="C113" s="52" t="str">
        <x:v>Хайрга 0.5</x:v>
      </x:c>
      <x:c r="D113" s="52" t="str"/>
      <x:c r="E113" s="52" t="str">
        <x:v>м3</x:v>
      </x:c>
      <x:c r="F113" s="53" t="n">
        <x:v>77</x:v>
      </x:c>
      <x:c r="G113" s="54" t="n">
        <x:v>27500</x:v>
      </x:c>
      <x:c r="H113" s="54" t="n">
        <x:v>2117500</x:v>
      </x:c>
      <x:c r="I113" s="54" t="n">
        <x:f>IF(AND(ISNUMBER(F113),ISNUMBER(G113)),ROUND(F113*G113,0),H113)</x:f>
        <x:v>2117500</x:v>
      </x:c>
      <x:c r="J113" s="54" t="n">
        <x:f>I113-H113</x:f>
        <x:v>0</x:v>
      </x:c>
      <x:c r="K113" s="51" t="str">
        <x:v>Материал</x:v>
      </x:c>
      <x:c r="L113" s="51" t="str">
        <x:f>IF(J113=0,"OK","Шалгах")</x:f>
        <x:v>OK</x:v>
      </x:c>
      <x:c r="M113" s="51" t="str">
        <x:v>Заслын нийт төсөв</x:v>
      </x:c>
      <x:c r="N113" s="51" t="n">
        <x:v>75</x:v>
      </x:c>
    </x:row>
    <x:row r="114">
      <x:c r="A114" s="51" t="str">
        <x:v>MAT-6R-0100</x:v>
      </x:c>
      <x:c r="B114" s="52" t="str">
        <x:v>Өрлөг, шаврын ажил</x:v>
      </x:c>
      <x:c r="C114" s="52" t="str">
        <x:v>Элс</x:v>
      </x:c>
      <x:c r="D114" s="52" t="str"/>
      <x:c r="E114" s="52" t="str">
        <x:v>м3</x:v>
      </x:c>
      <x:c r="F114" s="53" t="n">
        <x:v>375</x:v>
      </x:c>
      <x:c r="G114" s="54" t="n">
        <x:v>18700</x:v>
      </x:c>
      <x:c r="H114" s="54" t="n">
        <x:v>7012500</x:v>
      </x:c>
      <x:c r="I114" s="54" t="n">
        <x:f>IF(AND(ISNUMBER(F114),ISNUMBER(G114)),ROUND(F114*G114,0),H114)</x:f>
        <x:v>7012500</x:v>
      </x:c>
      <x:c r="J114" s="54" t="n">
        <x:f>I114-H114</x:f>
        <x:v>0</x:v>
      </x:c>
      <x:c r="K114" s="51" t="str">
        <x:v>Материал</x:v>
      </x:c>
      <x:c r="L114" s="51" t="str">
        <x:f>IF(J114=0,"OK","Шалгах")</x:f>
        <x:v>OK</x:v>
      </x:c>
      <x:c r="M114" s="51" t="str">
        <x:v>Заслын нийт төсөв</x:v>
      </x:c>
      <x:c r="N114" s="51" t="n">
        <x:v>76</x:v>
      </x:c>
    </x:row>
    <x:row r="115">
      <x:c r="A115" s="51" t="str">
        <x:v>MAT-6R-0101</x:v>
      </x:c>
      <x:c r="B115" s="52" t="str">
        <x:v>Гипсэн хананы ажил</x:v>
      </x:c>
      <x:c r="C115" s="52" t="str">
        <x:v>Орос гипсэн хавтан /1,2-той цагаан-3м2/</x:v>
      </x:c>
      <x:c r="D115" s="52" t="str"/>
      <x:c r="E115" s="52" t="str">
        <x:v>ш</x:v>
      </x:c>
      <x:c r="F115" s="53" t="n">
        <x:v>2433</x:v>
      </x:c>
      <x:c r="G115" s="54" t="n">
        <x:v>24500</x:v>
      </x:c>
      <x:c r="H115" s="54" t="n">
        <x:v>59608500</x:v>
      </x:c>
      <x:c r="I115" s="54" t="n">
        <x:f>IF(AND(ISNUMBER(F115),ISNUMBER(G115)),ROUND(F115*G115,0),H115)</x:f>
        <x:v>59608500</x:v>
      </x:c>
      <x:c r="J115" s="54" t="n">
        <x:f>I115-H115</x:f>
        <x:v>0</x:v>
      </x:c>
      <x:c r="K115" s="51" t="str">
        <x:v>Материал</x:v>
      </x:c>
      <x:c r="L115" s="51" t="str">
        <x:f>IF(J115=0,"OK","Шалгах")</x:f>
        <x:v>OK</x:v>
      </x:c>
      <x:c r="M115" s="51" t="str">
        <x:v>Заслын нийт төсөв</x:v>
      </x:c>
      <x:c r="N115" s="51" t="n">
        <x:v>78</x:v>
      </x:c>
    </x:row>
    <x:row r="116">
      <x:c r="A116" s="51" t="str">
        <x:v>MAT-6R-0102</x:v>
      </x:c>
      <x:c r="B116" s="52" t="str">
        <x:v>Гипсэн хананы ажил</x:v>
      </x:c>
      <x:c r="C116" s="52" t="str">
        <x:v>Хятад гипсэн хавтан /1,2-той цагаан-2.88м2/</x:v>
      </x:c>
      <x:c r="D116" s="52" t="str"/>
      <x:c r="E116" s="52" t="str">
        <x:v>ш</x:v>
      </x:c>
      <x:c r="F116" s="53" t="n">
        <x:v>2250</x:v>
      </x:c>
      <x:c r="G116" s="54" t="n">
        <x:v>23500</x:v>
      </x:c>
      <x:c r="H116" s="54" t="n">
        <x:v>52875000</x:v>
      </x:c>
      <x:c r="I116" s="54" t="n">
        <x:f>IF(AND(ISNUMBER(F116),ISNUMBER(G116)),ROUND(F116*G116,0),H116)</x:f>
        <x:v>52875000</x:v>
      </x:c>
      <x:c r="J116" s="54" t="n">
        <x:f>I116-H116</x:f>
        <x:v>0</x:v>
      </x:c>
      <x:c r="K116" s="51" t="str">
        <x:v>Материал</x:v>
      </x:c>
      <x:c r="L116" s="51" t="str">
        <x:f>IF(J116=0,"OK","Шалгах")</x:f>
        <x:v>OK</x:v>
      </x:c>
      <x:c r="M116" s="51" t="str">
        <x:v>Заслын нийт төсөв</x:v>
      </x:c>
      <x:c r="N116" s="51" t="n">
        <x:v>79</x:v>
      </x:c>
    </x:row>
    <x:row r="117">
      <x:c r="A117" s="51" t="str">
        <x:v>MAT-6R-0103</x:v>
      </x:c>
      <x:c r="B117" s="52" t="str">
        <x:v>Гипсэн хананы ажил</x:v>
      </x:c>
      <x:c r="C117" s="52" t="str">
        <x:v>Орос гипсэн хавтан /1,2-той ногоон-3м2/</x:v>
      </x:c>
      <x:c r="D117" s="52" t="str"/>
      <x:c r="E117" s="52" t="str">
        <x:v>ш</x:v>
      </x:c>
      <x:c r="F117" s="53" t="n">
        <x:v>1510</x:v>
      </x:c>
      <x:c r="G117" s="54" t="n">
        <x:v>30000</x:v>
      </x:c>
      <x:c r="H117" s="54" t="n">
        <x:v>45300000</x:v>
      </x:c>
      <x:c r="I117" s="54" t="n">
        <x:f>IF(AND(ISNUMBER(F117),ISNUMBER(G117)),ROUND(F117*G117,0),H117)</x:f>
        <x:v>45300000</x:v>
      </x:c>
      <x:c r="J117" s="54" t="n">
        <x:f>I117-H117</x:f>
        <x:v>0</x:v>
      </x:c>
      <x:c r="K117" s="51" t="str">
        <x:v>Материал</x:v>
      </x:c>
      <x:c r="L117" s="51" t="str">
        <x:f>IF(J117=0,"OK","Шалгах")</x:f>
        <x:v>OK</x:v>
      </x:c>
      <x:c r="M117" s="51" t="str">
        <x:v>Заслын нийт төсөв</x:v>
      </x:c>
      <x:c r="N117" s="51" t="n">
        <x:v>80</x:v>
      </x:c>
    </x:row>
    <x:row r="118">
      <x:c r="A118" s="51" t="str">
        <x:v>MAT-6R-0104</x:v>
      </x:c>
      <x:c r="B118" s="52" t="str">
        <x:v>Гипсэн хананы ажил</x:v>
      </x:c>
      <x:c r="C118" s="52" t="str">
        <x:v>Орос OSB хавтан /1,2-той цагаан-2.98м2/</x:v>
      </x:c>
      <x:c r="D118" s="52" t="str"/>
      <x:c r="E118" s="52" t="str">
        <x:v>ш</x:v>
      </x:c>
      <x:c r="F118" s="53" t="n">
        <x:v>257</x:v>
      </x:c>
      <x:c r="G118" s="54" t="n">
        <x:v>45000</x:v>
      </x:c>
      <x:c r="H118" s="54" t="n">
        <x:v>11565000</x:v>
      </x:c>
      <x:c r="I118" s="54" t="n">
        <x:f>IF(AND(ISNUMBER(F118),ISNUMBER(G118)),ROUND(F118*G118,0),H118)</x:f>
        <x:v>11565000</x:v>
      </x:c>
      <x:c r="J118" s="54" t="n">
        <x:f>I118-H118</x:f>
        <x:v>0</x:v>
      </x:c>
      <x:c r="K118" s="51" t="str">
        <x:v>Материал</x:v>
      </x:c>
      <x:c r="L118" s="51" t="str">
        <x:f>IF(J118=0,"OK","Шалгах")</x:f>
        <x:v>OK</x:v>
      </x:c>
      <x:c r="M118" s="51" t="str">
        <x:v>Заслын нийт төсөв</x:v>
      </x:c>
      <x:c r="N118" s="51" t="n">
        <x:v>81</x:v>
      </x:c>
    </x:row>
    <x:row r="119">
      <x:c r="A119" s="51" t="str">
        <x:v>MAT-6R-0105</x:v>
      </x:c>
      <x:c r="B119" s="52" t="str">
        <x:v>Гипсэн хананы ажил</x:v>
      </x:c>
      <x:c r="C119" s="52" t="str">
        <x:v>Цементэн хавтан</x:v>
      </x:c>
      <x:c r="D119" s="52" t="str"/>
      <x:c r="E119" s="52" t="str">
        <x:v>ш</x:v>
      </x:c>
      <x:c r="F119" s="53" t="n">
        <x:v>51</x:v>
      </x:c>
      <x:c r="G119" s="54" t="n">
        <x:v>27500</x:v>
      </x:c>
      <x:c r="H119" s="54" t="n">
        <x:v>1402500</x:v>
      </x:c>
      <x:c r="I119" s="54" t="n">
        <x:f>IF(AND(ISNUMBER(F119),ISNUMBER(G119)),ROUND(F119*G119,0),H119)</x:f>
        <x:v>1402500</x:v>
      </x:c>
      <x:c r="J119" s="54" t="n">
        <x:f>I119-H119</x:f>
        <x:v>0</x:v>
      </x:c>
      <x:c r="K119" s="51" t="str">
        <x:v>Материал</x:v>
      </x:c>
      <x:c r="L119" s="51" t="str">
        <x:f>IF(J119=0,"OK","Шалгах")</x:f>
        <x:v>OK</x:v>
      </x:c>
      <x:c r="M119" s="51" t="str">
        <x:v>Заслын нийт төсөв</x:v>
      </x:c>
      <x:c r="N119" s="51" t="n">
        <x:v>82</x:v>
      </x:c>
    </x:row>
    <x:row r="120">
      <x:c r="A120" s="51" t="str">
        <x:v>MAT-6R-0106</x:v>
      </x:c>
      <x:c r="B120" s="52" t="str">
        <x:v>Гипсэн хананы ажил</x:v>
      </x:c>
      <x:c r="C120" s="52" t="str">
        <x:v>Cw босоо төмөр-3м</x:v>
      </x:c>
      <x:c r="D120" s="52" t="str"/>
      <x:c r="E120" s="52" t="str">
        <x:v>ш</x:v>
      </x:c>
      <x:c r="F120" s="53" t="n">
        <x:v>5785</x:v>
      </x:c>
      <x:c r="G120" s="54" t="n">
        <x:v>8800</x:v>
      </x:c>
      <x:c r="H120" s="54" t="n">
        <x:v>50908000</x:v>
      </x:c>
      <x:c r="I120" s="54" t="n">
        <x:f>IF(AND(ISNUMBER(F120),ISNUMBER(G120)),ROUND(F120*G120,0),H120)</x:f>
        <x:v>50908000</x:v>
      </x:c>
      <x:c r="J120" s="54" t="n">
        <x:f>I120-H120</x:f>
        <x:v>0</x:v>
      </x:c>
      <x:c r="K120" s="51" t="str">
        <x:v>Материал</x:v>
      </x:c>
      <x:c r="L120" s="51" t="str">
        <x:f>IF(J120=0,"OK","Шалгах")</x:f>
        <x:v>OK</x:v>
      </x:c>
      <x:c r="M120" s="51" t="str">
        <x:v>Заслын нийт төсөв</x:v>
      </x:c>
      <x:c r="N120" s="51" t="n">
        <x:v>83</x:v>
      </x:c>
    </x:row>
    <x:row r="121">
      <x:c r="A121" s="51" t="str">
        <x:v>MAT-6R-0107</x:v>
      </x:c>
      <x:c r="B121" s="52" t="str">
        <x:v>Гипсэн хананы ажил</x:v>
      </x:c>
      <x:c r="C121" s="52" t="str">
        <x:v>Uw хэвтээ төмөр-3м</x:v>
      </x:c>
      <x:c r="D121" s="52" t="str"/>
      <x:c r="E121" s="52" t="str">
        <x:v>ш</x:v>
      </x:c>
      <x:c r="F121" s="53" t="n">
        <x:v>1519</x:v>
      </x:c>
      <x:c r="G121" s="54" t="n">
        <x:v>8500</x:v>
      </x:c>
      <x:c r="H121" s="54" t="n">
        <x:v>12911500</x:v>
      </x:c>
      <x:c r="I121" s="54" t="n">
        <x:f>IF(AND(ISNUMBER(F121),ISNUMBER(G121)),ROUND(F121*G121,0),H121)</x:f>
        <x:v>12911500</x:v>
      </x:c>
      <x:c r="J121" s="54" t="n">
        <x:f>I121-H121</x:f>
        <x:v>0</x:v>
      </x:c>
      <x:c r="K121" s="51" t="str">
        <x:v>Материал</x:v>
      </x:c>
      <x:c r="L121" s="51" t="str">
        <x:f>IF(J121=0,"OK","Шалгах")</x:f>
        <x:v>OK</x:v>
      </x:c>
      <x:c r="M121" s="51" t="str">
        <x:v>Заслын нийт төсөв</x:v>
      </x:c>
      <x:c r="N121" s="51" t="n">
        <x:v>84</x:v>
      </x:c>
    </x:row>
    <x:row r="122">
      <x:c r="A122" s="51" t="str">
        <x:v>MAT-6R-0108</x:v>
      </x:c>
      <x:c r="B122" s="52" t="str">
        <x:v>Гипсэн хананы ажил</x:v>
      </x:c>
      <x:c r="C122" s="52" t="str">
        <x:v>38х12 си төмөр-3м</x:v>
      </x:c>
      <x:c r="D122" s="52" t="str"/>
      <x:c r="E122" s="52" t="str">
        <x:v>ш</x:v>
      </x:c>
      <x:c r="F122" s="53" t="n">
        <x:v>1207</x:v>
      </x:c>
      <x:c r="G122" s="54" t="n">
        <x:v>4600</x:v>
      </x:c>
      <x:c r="H122" s="54" t="n">
        <x:v>5552200</x:v>
      </x:c>
      <x:c r="I122" s="54" t="n">
        <x:f>IF(AND(ISNUMBER(F122),ISNUMBER(G122)),ROUND(F122*G122,0),H122)</x:f>
        <x:v>5552200</x:v>
      </x:c>
      <x:c r="J122" s="54" t="n">
        <x:f>I122-H122</x:f>
        <x:v>0</x:v>
      </x:c>
      <x:c r="K122" s="51" t="str">
        <x:v>Материал</x:v>
      </x:c>
      <x:c r="L122" s="51" t="str">
        <x:f>IF(J122=0,"OK","Шалгах")</x:f>
        <x:v>OK</x:v>
      </x:c>
      <x:c r="M122" s="51" t="str">
        <x:v>Заслын нийт төсөв</x:v>
      </x:c>
      <x:c r="N122" s="51" t="n">
        <x:v>85</x:v>
      </x:c>
    </x:row>
    <x:row r="123">
      <x:c r="A123" s="51" t="str">
        <x:v>MAT-6R-0109</x:v>
      </x:c>
      <x:c r="B123" s="52" t="str">
        <x:v>Гипсэн хананы ажил</x:v>
      </x:c>
      <x:c r="C123" s="52" t="str">
        <x:v>Бэхэлгээний түгжээ</x:v>
      </x:c>
      <x:c r="D123" s="52" t="str"/>
      <x:c r="E123" s="52" t="str">
        <x:v>ш</x:v>
      </x:c>
      <x:c r="F123" s="53" t="n">
        <x:v>9795</x:v>
      </x:c>
      <x:c r="G123" s="54" t="n">
        <x:v>250</x:v>
      </x:c>
      <x:c r="H123" s="54" t="n">
        <x:v>2448750</x:v>
      </x:c>
      <x:c r="I123" s="54" t="n">
        <x:f>IF(AND(ISNUMBER(F123),ISNUMBER(G123)),ROUND(F123*G123,0),H123)</x:f>
        <x:v>2448750</x:v>
      </x:c>
      <x:c r="J123" s="54" t="n">
        <x:f>I123-H123</x:f>
        <x:v>0</x:v>
      </x:c>
      <x:c r="K123" s="51" t="str">
        <x:v>Материал</x:v>
      </x:c>
      <x:c r="L123" s="51" t="str">
        <x:f>IF(J123=0,"OK","Шалгах")</x:f>
        <x:v>OK</x:v>
      </x:c>
      <x:c r="M123" s="51" t="str">
        <x:v>Заслын нийт төсөв</x:v>
      </x:c>
      <x:c r="N123" s="51" t="n">
        <x:v>86</x:v>
      </x:c>
    </x:row>
    <x:row r="124">
      <x:c r="A124" s="51" t="str">
        <x:v>MAT-6R-0110</x:v>
      </x:c>
      <x:c r="B124" s="52" t="str">
        <x:v>Гипсэн хананы ажил</x:v>
      </x:c>
      <x:c r="C124" s="52" t="str">
        <x:v>Гипсэний шруп</x:v>
      </x:c>
      <x:c r="D124" s="52" t="str"/>
      <x:c r="E124" s="52" t="str">
        <x:v>ш</x:v>
      </x:c>
      <x:c r="F124" s="53" t="n">
        <x:v>295700</x:v>
      </x:c>
      <x:c r="G124" s="54" t="n">
        <x:v>22</x:v>
      </x:c>
      <x:c r="H124" s="54" t="n">
        <x:v>6505400</x:v>
      </x:c>
      <x:c r="I124" s="54" t="n">
        <x:f>IF(AND(ISNUMBER(F124),ISNUMBER(G124)),ROUND(F124*G124,0),H124)</x:f>
        <x:v>6505400</x:v>
      </x:c>
      <x:c r="J124" s="54" t="n">
        <x:f>I124-H124</x:f>
        <x:v>0</x:v>
      </x:c>
      <x:c r="K124" s="51" t="str">
        <x:v>Материал</x:v>
      </x:c>
      <x:c r="L124" s="51" t="str">
        <x:f>IF(J124=0,"OK","Шалгах")</x:f>
        <x:v>OK</x:v>
      </x:c>
      <x:c r="M124" s="51" t="str">
        <x:v>Заслын нийт төсөв</x:v>
      </x:c>
      <x:c r="N124" s="51" t="n">
        <x:v>87</x:v>
      </x:c>
    </x:row>
    <x:row r="125">
      <x:c r="A125" s="51" t="str">
        <x:v>MAT-6R-0111</x:v>
      </x:c>
      <x:c r="B125" s="52" t="str">
        <x:v>Гипсэн хананы ажил</x:v>
      </x:c>
      <x:c r="C125" s="52" t="str">
        <x:v>Бууны сум</x:v>
      </x:c>
      <x:c r="D125" s="52" t="str"/>
      <x:c r="E125" s="52" t="str">
        <x:v>ш</x:v>
      </x:c>
      <x:c r="F125" s="53" t="n">
        <x:v>21940</x:v>
      </x:c>
      <x:c r="G125" s="54" t="n">
        <x:v>150</x:v>
      </x:c>
      <x:c r="H125" s="54" t="n">
        <x:v>3291000</x:v>
      </x:c>
      <x:c r="I125" s="54" t="n">
        <x:f>IF(AND(ISNUMBER(F125),ISNUMBER(G125)),ROUND(F125*G125,0),H125)</x:f>
        <x:v>3291000</x:v>
      </x:c>
      <x:c r="J125" s="54" t="n">
        <x:f>I125-H125</x:f>
        <x:v>0</x:v>
      </x:c>
      <x:c r="K125" s="51" t="str">
        <x:v>Материал</x:v>
      </x:c>
      <x:c r="L125" s="51" t="str">
        <x:f>IF(J125=0,"OK","Шалгах")</x:f>
        <x:v>OK</x:v>
      </x:c>
      <x:c r="M125" s="51" t="str">
        <x:v>Заслын нийт төсөв</x:v>
      </x:c>
      <x:c r="N125" s="51" t="n">
        <x:v>88</x:v>
      </x:c>
    </x:row>
    <x:row r="126">
      <x:c r="A126" s="51" t="str">
        <x:v>MAT-6R-0112</x:v>
      </x:c>
      <x:c r="B126" s="52" t="str">
        <x:v>Гипсэн хананы ажил</x:v>
      </x:c>
      <x:c r="C126" s="52" t="str">
        <x:v>Изовер хөвөн</x:v>
      </x:c>
      <x:c r="D126" s="52" t="str"/>
      <x:c r="E126" s="52" t="str">
        <x:v>м2</x:v>
      </x:c>
      <x:c r="F126" s="53" t="n">
        <x:v>4952</x:v>
      </x:c>
      <x:c r="G126" s="54" t="n">
        <x:v>9500</x:v>
      </x:c>
      <x:c r="H126" s="54" t="n">
        <x:v>47044000</x:v>
      </x:c>
      <x:c r="I126" s="54" t="n">
        <x:f>IF(AND(ISNUMBER(F126),ISNUMBER(G126)),ROUND(F126*G126,0),H126)</x:f>
        <x:v>47044000</x:v>
      </x:c>
      <x:c r="J126" s="54" t="n">
        <x:f>I126-H126</x:f>
        <x:v>0</x:v>
      </x:c>
      <x:c r="K126" s="51" t="str">
        <x:v>Материал</x:v>
      </x:c>
      <x:c r="L126" s="51" t="str">
        <x:f>IF(J126=0,"OK","Шалгах")</x:f>
        <x:v>OK</x:v>
      </x:c>
      <x:c r="M126" s="51" t="str">
        <x:v>Заслын нийт төсөв</x:v>
      </x:c>
      <x:c r="N126" s="51" t="n">
        <x:v>89</x:v>
      </x:c>
    </x:row>
    <x:row r="127">
      <x:c r="A127" s="51" t="str">
        <x:v>MAT-6R-0113</x:v>
      </x:c>
      <x:c r="B127" s="52" t="str">
        <x:v>Гипсэн хананы ажил</x:v>
      </x:c>
      <x:c r="C127" s="52" t="str">
        <x:v>Пилёонка</x:v>
      </x:c>
      <x:c r="D127" s="52" t="str"/>
      <x:c r="E127" s="52" t="str">
        <x:v>м2</x:v>
      </x:c>
      <x:c r="F127" s="53" t="n">
        <x:v>1875</x:v>
      </x:c>
      <x:c r="G127" s="54" t="n">
        <x:v>3850</x:v>
      </x:c>
      <x:c r="H127" s="54" t="n">
        <x:v>7218750</x:v>
      </x:c>
      <x:c r="I127" s="54" t="n">
        <x:f>IF(AND(ISNUMBER(F127),ISNUMBER(G127)),ROUND(F127*G127,0),H127)</x:f>
        <x:v>7218750</x:v>
      </x:c>
      <x:c r="J127" s="54" t="n">
        <x:f>I127-H127</x:f>
        <x:v>0</x:v>
      </x:c>
      <x:c r="K127" s="51" t="str">
        <x:v>Материал</x:v>
      </x:c>
      <x:c r="L127" s="51" t="str">
        <x:f>IF(J127=0,"OK","Шалгах")</x:f>
        <x:v>OK</x:v>
      </x:c>
      <x:c r="M127" s="51" t="str">
        <x:v>Заслын нийт төсөв</x:v>
      </x:c>
      <x:c r="N127" s="51" t="n">
        <x:v>90</x:v>
      </x:c>
    </x:row>
    <x:row r="128">
      <x:c r="A128" s="51" t="str">
        <x:v>MAT-6R-0114</x:v>
      </x:c>
      <x:c r="B128" s="52" t="str">
        <x:v>Гипсэн хананы ажил</x:v>
      </x:c>
      <x:c r="C128" s="52" t="str">
        <x:v>Скоч /дунд/</x:v>
      </x:c>
      <x:c r="D128" s="52" t="str"/>
      <x:c r="E128" s="52" t="str">
        <x:v>ш</x:v>
      </x:c>
      <x:c r="F128" s="53" t="n">
        <x:v>65</x:v>
      </x:c>
      <x:c r="G128" s="54" t="n">
        <x:v>3100</x:v>
      </x:c>
      <x:c r="H128" s="54" t="n">
        <x:v>201500</x:v>
      </x:c>
      <x:c r="I128" s="54" t="n">
        <x:f>IF(AND(ISNUMBER(F128),ISNUMBER(G128)),ROUND(F128*G128,0),H128)</x:f>
        <x:v>201500</x:v>
      </x:c>
      <x:c r="J128" s="54" t="n">
        <x:f>I128-H128</x:f>
        <x:v>0</x:v>
      </x:c>
      <x:c r="K128" s="51" t="str">
        <x:v>Материал</x:v>
      </x:c>
      <x:c r="L128" s="51" t="str">
        <x:f>IF(J128=0,"OK","Шалгах")</x:f>
        <x:v>OK</x:v>
      </x:c>
      <x:c r="M128" s="51" t="str">
        <x:v>Заслын нийт төсөв</x:v>
      </x:c>
      <x:c r="N128" s="51" t="n">
        <x:v>91</x:v>
      </x:c>
    </x:row>
    <x:row r="129">
      <x:c r="A129" s="51" t="str">
        <x:v>MAT-6R-0115</x:v>
      </x:c>
      <x:c r="B129" s="52" t="str">
        <x:v>Гипсэн таазны ажил</x:v>
      </x:c>
      <x:c r="C129" s="52" t="str">
        <x:v>Гипсэн хавтан /0.9-той цагаан/</x:v>
      </x:c>
      <x:c r="D129" s="52" t="str"/>
      <x:c r="E129" s="52" t="str">
        <x:v>ш</x:v>
      </x:c>
      <x:c r="F129" s="53" t="n">
        <x:v>246</x:v>
      </x:c>
      <x:c r="G129" s="54" t="n">
        <x:v>21000</x:v>
      </x:c>
      <x:c r="H129" s="54" t="n">
        <x:v>5166000</x:v>
      </x:c>
      <x:c r="I129" s="54" t="n">
        <x:f>IF(AND(ISNUMBER(F129),ISNUMBER(G129)),ROUND(F129*G129,0),H129)</x:f>
        <x:v>5166000</x:v>
      </x:c>
      <x:c r="J129" s="54" t="n">
        <x:f>I129-H129</x:f>
        <x:v>0</x:v>
      </x:c>
      <x:c r="K129" s="51" t="str">
        <x:v>Материал</x:v>
      </x:c>
      <x:c r="L129" s="51" t="str">
        <x:f>IF(J129=0,"OK","Шалгах")</x:f>
        <x:v>OK</x:v>
      </x:c>
      <x:c r="M129" s="51" t="str">
        <x:v>Заслын нийт төсөв</x:v>
      </x:c>
      <x:c r="N129" s="51" t="n">
        <x:v>93</x:v>
      </x:c>
    </x:row>
    <x:row r="130">
      <x:c r="A130" s="51" t="str">
        <x:v>MAT-6R-0116</x:v>
      </x:c>
      <x:c r="B130" s="52" t="str">
        <x:v>Гипсэн таазны ажил</x:v>
      </x:c>
      <x:c r="C130" s="52" t="str">
        <x:v>Си төмөр /30х30/</x:v>
      </x:c>
      <x:c r="D130" s="52" t="str"/>
      <x:c r="E130" s="52" t="str">
        <x:v>ш</x:v>
      </x:c>
      <x:c r="F130" s="53" t="n">
        <x:v>1306</x:v>
      </x:c>
      <x:c r="G130" s="54" t="n">
        <x:v>4800</x:v>
      </x:c>
      <x:c r="H130" s="54" t="n">
        <x:v>6268800</x:v>
      </x:c>
      <x:c r="I130" s="54" t="n">
        <x:f>IF(AND(ISNUMBER(F130),ISNUMBER(G130)),ROUND(F130*G130,0),H130)</x:f>
        <x:v>6268800</x:v>
      </x:c>
      <x:c r="J130" s="54" t="n">
        <x:f>I130-H130</x:f>
        <x:v>0</x:v>
      </x:c>
      <x:c r="K130" s="51" t="str">
        <x:v>Материал</x:v>
      </x:c>
      <x:c r="L130" s="51" t="str">
        <x:f>IF(J130=0,"OK","Шалгах")</x:f>
        <x:v>OK</x:v>
      </x:c>
      <x:c r="M130" s="51" t="str">
        <x:v>Заслын нийт төсөв</x:v>
      </x:c>
      <x:c r="N130" s="51" t="n">
        <x:v>94</x:v>
      </x:c>
    </x:row>
    <x:row r="131">
      <x:c r="A131" s="51" t="str">
        <x:v>MAT-6R-0117</x:v>
      </x:c>
      <x:c r="B131" s="52" t="str">
        <x:v>Гипсэн таазны ажил</x:v>
      </x:c>
      <x:c r="C131" s="52" t="str">
        <x:v>Си төмөр /60х27/</x:v>
      </x:c>
      <x:c r="D131" s="52" t="str"/>
      <x:c r="E131" s="52" t="str">
        <x:v>ш</x:v>
      </x:c>
      <x:c r="F131" s="53" t="n">
        <x:v>590</x:v>
      </x:c>
      <x:c r="G131" s="54" t="n">
        <x:v>6600</x:v>
      </x:c>
      <x:c r="H131" s="54" t="n">
        <x:v>3894000</x:v>
      </x:c>
      <x:c r="I131" s="54" t="n">
        <x:f>IF(AND(ISNUMBER(F131),ISNUMBER(G131)),ROUND(F131*G131,0),H131)</x:f>
        <x:v>3894000</x:v>
      </x:c>
      <x:c r="J131" s="54" t="n">
        <x:f>I131-H131</x:f>
        <x:v>0</x:v>
      </x:c>
      <x:c r="K131" s="51" t="str">
        <x:v>Материал</x:v>
      </x:c>
      <x:c r="L131" s="51" t="str">
        <x:f>IF(J131=0,"OK","Шалгах")</x:f>
        <x:v>OK</x:v>
      </x:c>
      <x:c r="M131" s="51" t="str">
        <x:v>Заслын нийт төсөв</x:v>
      </x:c>
      <x:c r="N131" s="51" t="n">
        <x:v>95</x:v>
      </x:c>
    </x:row>
    <x:row r="132">
      <x:c r="A132" s="51" t="str">
        <x:v>MAT-6R-0118</x:v>
      </x:c>
      <x:c r="B132" s="52" t="str">
        <x:v>Гипсэн таазны ажил</x:v>
      </x:c>
      <x:c r="C132" s="52" t="str">
        <x:v>Тэлэнч /6-н/</x:v>
      </x:c>
      <x:c r="D132" s="52" t="str"/>
      <x:c r="E132" s="52" t="str">
        <x:v>ш</x:v>
      </x:c>
      <x:c r="F132" s="53" t="n">
        <x:v>8170</x:v>
      </x:c>
      <x:c r="G132" s="54" t="n">
        <x:v>15</x:v>
      </x:c>
      <x:c r="H132" s="54" t="n">
        <x:v>122550</x:v>
      </x:c>
      <x:c r="I132" s="54" t="n">
        <x:f>IF(AND(ISNUMBER(F132),ISNUMBER(G132)),ROUND(F132*G132,0),H132)</x:f>
        <x:v>122550</x:v>
      </x:c>
      <x:c r="J132" s="54" t="n">
        <x:f>I132-H132</x:f>
        <x:v>0</x:v>
      </x:c>
      <x:c r="K132" s="51" t="str">
        <x:v>Материал</x:v>
      </x:c>
      <x:c r="L132" s="51" t="str">
        <x:f>IF(J132=0,"OK","Шалгах")</x:f>
        <x:v>OK</x:v>
      </x:c>
      <x:c r="M132" s="51" t="str">
        <x:v>Заслын нийт төсөв</x:v>
      </x:c>
      <x:c r="N132" s="51" t="n">
        <x:v>96</x:v>
      </x:c>
    </x:row>
    <x:row r="133">
      <x:c r="A133" s="51" t="str">
        <x:v>MAT-6R-0119</x:v>
      </x:c>
      <x:c r="B133" s="52" t="str">
        <x:v>Гипсэн таазны ажил</x:v>
      </x:c>
      <x:c r="C133" s="52" t="str">
        <x:v>Шрүп /3.5-тай/</x:v>
      </x:c>
      <x:c r="D133" s="52" t="str"/>
      <x:c r="E133" s="52" t="str">
        <x:v>ш</x:v>
      </x:c>
      <x:c r="F133" s="53" t="n">
        <x:v>8170</x:v>
      </x:c>
      <x:c r="G133" s="54" t="n">
        <x:v>30</x:v>
      </x:c>
      <x:c r="H133" s="54" t="n">
        <x:v>245100</x:v>
      </x:c>
      <x:c r="I133" s="54" t="n">
        <x:f>IF(AND(ISNUMBER(F133),ISNUMBER(G133)),ROUND(F133*G133,0),H133)</x:f>
        <x:v>245100</x:v>
      </x:c>
      <x:c r="J133" s="54" t="n">
        <x:f>I133-H133</x:f>
        <x:v>0</x:v>
      </x:c>
      <x:c r="K133" s="51" t="str">
        <x:v>Материал</x:v>
      </x:c>
      <x:c r="L133" s="51" t="str">
        <x:f>IF(J133=0,"OK","Шалгах")</x:f>
        <x:v>OK</x:v>
      </x:c>
      <x:c r="M133" s="51" t="str">
        <x:v>Заслын нийт төсөв</x:v>
      </x:c>
      <x:c r="N133" s="51" t="n">
        <x:v>97</x:v>
      </x:c>
    </x:row>
    <x:row r="134">
      <x:c r="A134" s="51" t="str">
        <x:v>MAT-6R-0120</x:v>
      </x:c>
      <x:c r="B134" s="52" t="str">
        <x:v>Гипсэн таазны ажил</x:v>
      </x:c>
      <x:c r="C134" s="52" t="str">
        <x:v>Шрүп /2.5-тай/</x:v>
      </x:c>
      <x:c r="D134" s="52" t="str"/>
      <x:c r="E134" s="52" t="str">
        <x:v>ш</x:v>
      </x:c>
      <x:c r="F134" s="53" t="n">
        <x:v>21750</x:v>
      </x:c>
      <x:c r="G134" s="54" t="n">
        <x:v>20</x:v>
      </x:c>
      <x:c r="H134" s="54" t="n">
        <x:v>435000</x:v>
      </x:c>
      <x:c r="I134" s="54" t="n">
        <x:f>IF(AND(ISNUMBER(F134),ISNUMBER(G134)),ROUND(F134*G134,0),H134)</x:f>
        <x:v>435000</x:v>
      </x:c>
      <x:c r="J134" s="54" t="n">
        <x:f>I134-H134</x:f>
        <x:v>0</x:v>
      </x:c>
      <x:c r="K134" s="51" t="str">
        <x:v>Материал</x:v>
      </x:c>
      <x:c r="L134" s="51" t="str">
        <x:f>IF(J134=0,"OK","Шалгах")</x:f>
        <x:v>OK</x:v>
      </x:c>
      <x:c r="M134" s="51" t="str">
        <x:v>Заслын нийт төсөв</x:v>
      </x:c>
      <x:c r="N134" s="51" t="n">
        <x:v>98</x:v>
      </x:c>
    </x:row>
    <x:row r="135">
      <x:c r="A135" s="51" t="str">
        <x:v>MAT-6R-0121</x:v>
      </x:c>
      <x:c r="B135" s="52" t="str">
        <x:v>Гипсэн таазны ажил</x:v>
      </x:c>
      <x:c r="C135" s="52" t="str">
        <x:v>Хөөсөн хүрээ</x:v>
      </x:c>
      <x:c r="D135" s="52" t="str"/>
      <x:c r="E135" s="52" t="str">
        <x:v>ум</x:v>
      </x:c>
      <x:c r="F135" s="53" t="n">
        <x:v>2924</x:v>
      </x:c>
      <x:c r="G135" s="54" t="n">
        <x:v>5300</x:v>
      </x:c>
      <x:c r="H135" s="54" t="n">
        <x:v>15497200</x:v>
      </x:c>
      <x:c r="I135" s="54" t="n">
        <x:f>IF(AND(ISNUMBER(F135),ISNUMBER(G135)),ROUND(F135*G135,0),H135)</x:f>
        <x:v>15497200</x:v>
      </x:c>
      <x:c r="J135" s="54" t="n">
        <x:f>I135-H135</x:f>
        <x:v>0</x:v>
      </x:c>
      <x:c r="K135" s="51" t="str">
        <x:v>Материал</x:v>
      </x:c>
      <x:c r="L135" s="51" t="str">
        <x:f>IF(J135=0,"OK","Шалгах")</x:f>
        <x:v>OK</x:v>
      </x:c>
      <x:c r="M135" s="51" t="str">
        <x:v>Заслын нийт төсөв</x:v>
      </x:c>
      <x:c r="N135" s="51" t="n">
        <x:v>99</x:v>
      </x:c>
    </x:row>
    <x:row r="136">
      <x:c r="A136" s="51" t="str">
        <x:v>MAT-6R-0122</x:v>
      </x:c>
      <x:c r="B136" s="52" t="str">
        <x:v>Гипсэн таазны ажил</x:v>
      </x:c>
      <x:c r="C136" s="52" t="str">
        <x:v>Акрил цавуу</x:v>
      </x:c>
      <x:c r="D136" s="52" t="str"/>
      <x:c r="E136" s="52" t="str">
        <x:v>ш</x:v>
      </x:c>
      <x:c r="F136" s="53" t="n">
        <x:v>356</x:v>
      </x:c>
      <x:c r="G136" s="54" t="n">
        <x:v>5000</x:v>
      </x:c>
      <x:c r="H136" s="54" t="n">
        <x:v>1780000</x:v>
      </x:c>
      <x:c r="I136" s="54" t="n">
        <x:f>IF(AND(ISNUMBER(F136),ISNUMBER(G136)),ROUND(F136*G136,0),H136)</x:f>
        <x:v>1780000</x:v>
      </x:c>
      <x:c r="J136" s="54" t="n">
        <x:f>I136-H136</x:f>
        <x:v>0</x:v>
      </x:c>
      <x:c r="K136" s="51" t="str">
        <x:v>Материал</x:v>
      </x:c>
      <x:c r="L136" s="51" t="str">
        <x:f>IF(J136=0,"OK","Шалгах")</x:f>
        <x:v>OK</x:v>
      </x:c>
      <x:c r="M136" s="51" t="str">
        <x:v>Заслын нийт төсөв</x:v>
      </x:c>
      <x:c r="N136" s="51" t="n">
        <x:v>100</x:v>
      </x:c>
    </x:row>
    <x:row r="137">
      <x:c r="A137" s="51" t="str">
        <x:v>MAT-6R-0123</x:v>
      </x:c>
      <x:c r="B137" s="52" t="str">
        <x:v>Хар шал цутгах ажил</x:v>
      </x:c>
      <x:c r="C137" s="52" t="str">
        <x:v>Шахдаг хөөс</x:v>
      </x:c>
      <x:c r="D137" s="52" t="str"/>
      <x:c r="E137" s="52" t="str">
        <x:v>ш</x:v>
      </x:c>
      <x:c r="F137" s="53" t="n">
        <x:v>97</x:v>
      </x:c>
      <x:c r="G137" s="54" t="n">
        <x:v>7700</x:v>
      </x:c>
      <x:c r="H137" s="54" t="n">
        <x:v>746900</x:v>
      </x:c>
      <x:c r="I137" s="54" t="n">
        <x:f>IF(AND(ISNUMBER(F137),ISNUMBER(G137)),ROUND(F137*G137,0),H137)</x:f>
        <x:v>746900</x:v>
      </x:c>
      <x:c r="J137" s="54" t="n">
        <x:f>I137-H137</x:f>
        <x:v>0</x:v>
      </x:c>
      <x:c r="K137" s="51" t="str">
        <x:v>Материал</x:v>
      </x:c>
      <x:c r="L137" s="51" t="str">
        <x:f>IF(J137=0,"OK","Шалгах")</x:f>
        <x:v>OK</x:v>
      </x:c>
      <x:c r="M137" s="51" t="str">
        <x:v>Заслын нийт төсөв</x:v>
      </x:c>
      <x:c r="N137" s="51" t="n">
        <x:v>102</x:v>
      </x:c>
    </x:row>
    <x:row r="138">
      <x:c r="A138" s="51" t="str">
        <x:v>MAT-6R-0124</x:v>
      </x:c>
      <x:c r="B138" s="52" t="str">
        <x:v>Хар шал цутгах ажил</x:v>
      </x:c>
      <x:c r="C138" s="52" t="str">
        <x:v>Хайрга /0.5-тай/</x:v>
      </x:c>
      <x:c r="D138" s="52" t="str"/>
      <x:c r="E138" s="52" t="str">
        <x:v>м3</x:v>
      </x:c>
      <x:c r="F138" s="53" t="n">
        <x:v>846</x:v>
      </x:c>
      <x:c r="G138" s="54" t="n">
        <x:v>27500</x:v>
      </x:c>
      <x:c r="H138" s="54" t="n">
        <x:v>23265000</x:v>
      </x:c>
      <x:c r="I138" s="54" t="n">
        <x:f>IF(AND(ISNUMBER(F138),ISNUMBER(G138)),ROUND(F138*G138,0),H138)</x:f>
        <x:v>23265000</x:v>
      </x:c>
      <x:c r="J138" s="54" t="n">
        <x:f>I138-H138</x:f>
        <x:v>0</x:v>
      </x:c>
      <x:c r="K138" s="51" t="str">
        <x:v>Материал</x:v>
      </x:c>
      <x:c r="L138" s="51" t="str">
        <x:f>IF(J138=0,"OK","Шалгах")</x:f>
        <x:v>OK</x:v>
      </x:c>
      <x:c r="M138" s="51" t="str">
        <x:v>Заслын нийт төсөв</x:v>
      </x:c>
      <x:c r="N138" s="51" t="n">
        <x:v>103</x:v>
      </x:c>
    </x:row>
    <x:row r="139">
      <x:c r="A139" s="51" t="str">
        <x:v>MAT-6R-0125</x:v>
      </x:c>
      <x:c r="B139" s="52" t="str">
        <x:v>Хар шал цутгах ажил</x:v>
      </x:c>
      <x:c r="C139" s="52" t="str">
        <x:v>Цемент</x:v>
      </x:c>
      <x:c r="D139" s="52" t="str"/>
      <x:c r="E139" s="52" t="str">
        <x:v>тн</x:v>
      </x:c>
      <x:c r="F139" s="53" t="n">
        <x:v>183</x:v>
      </x:c>
      <x:c r="G139" s="54" t="n">
        <x:v>29000</x:v>
      </x:c>
      <x:c r="H139" s="54" t="n">
        <x:v>5307000</x:v>
      </x:c>
      <x:c r="I139" s="54" t="n">
        <x:f>IF(AND(ISNUMBER(F139),ISNUMBER(G139)),ROUND(F139*G139,0),H139)</x:f>
        <x:v>5307000</x:v>
      </x:c>
      <x:c r="J139" s="54" t="n">
        <x:f>I139-H139</x:f>
        <x:v>0</x:v>
      </x:c>
      <x:c r="K139" s="51" t="str">
        <x:v>Материал</x:v>
      </x:c>
      <x:c r="L139" s="51" t="str">
        <x:f>IF(J139=0,"OK","Шалгах")</x:f>
        <x:v>OK</x:v>
      </x:c>
      <x:c r="M139" s="51" t="str">
        <x:v>Заслын нийт төсөв</x:v>
      </x:c>
      <x:c r="N139" s="51" t="n">
        <x:v>104</x:v>
      </x:c>
    </x:row>
    <x:row r="140">
      <x:c r="A140" s="51" t="str">
        <x:v>MAT-6R-0126</x:v>
      </x:c>
      <x:c r="B140" s="52" t="str">
        <x:v>Тавцан чулуу</x:v>
      </x:c>
      <x:c r="C140" s="52" t="str">
        <x:v>Тавцан чулуу /в=0.21см/</x:v>
      </x:c>
      <x:c r="D140" s="52" t="str"/>
      <x:c r="E140" s="52" t="str">
        <x:v>ум</x:v>
      </x:c>
      <x:c r="F140" s="53" t="n">
        <x:v>289.59</x:v>
      </x:c>
      <x:c r="G140" s="54" t="n">
        <x:v>61200</x:v>
      </x:c>
      <x:c r="H140" s="54" t="n">
        <x:v>17722908</x:v>
      </x:c>
      <x:c r="I140" s="54" t="n">
        <x:f>IF(AND(ISNUMBER(F140),ISNUMBER(G140)),ROUND(F140*G140,0),H140)</x:f>
        <x:v>17722908</x:v>
      </x:c>
      <x:c r="J140" s="54" t="n">
        <x:f>I140-H140</x:f>
        <x:v>0</x:v>
      </x:c>
      <x:c r="K140" s="51" t="str">
        <x:v>Материал</x:v>
      </x:c>
      <x:c r="L140" s="51" t="str">
        <x:f>IF(J140=0,"OK","Шалгах")</x:f>
        <x:v>OK</x:v>
      </x:c>
      <x:c r="M140" s="51" t="str">
        <x:v>Заслын нийт төсөв</x:v>
      </x:c>
      <x:c r="N140" s="51" t="n">
        <x:v>106</x:v>
      </x:c>
    </x:row>
    <x:row r="141">
      <x:c r="A141" s="51" t="str">
        <x:v>MAT-6R-0127</x:v>
      </x:c>
      <x:c r="B141" s="52" t="str">
        <x:v>Тавцан чулуу</x:v>
      </x:c>
      <x:c r="C141" s="52" t="str">
        <x:v>Шахдаг хөөс</x:v>
      </x:c>
      <x:c r="D141" s="52" t="str"/>
      <x:c r="E141" s="52" t="str">
        <x:v>ш</x:v>
      </x:c>
      <x:c r="F141" s="53" t="n">
        <x:v>200</x:v>
      </x:c>
      <x:c r="G141" s="54" t="n">
        <x:v>7700</x:v>
      </x:c>
      <x:c r="H141" s="54" t="n">
        <x:v>1540000</x:v>
      </x:c>
      <x:c r="I141" s="54" t="n">
        <x:f>IF(AND(ISNUMBER(F141),ISNUMBER(G141)),ROUND(F141*G141,0),H141)</x:f>
        <x:v>1540000</x:v>
      </x:c>
      <x:c r="J141" s="54" t="n">
        <x:f>I141-H141</x:f>
        <x:v>0</x:v>
      </x:c>
      <x:c r="K141" s="51" t="str">
        <x:v>Материал</x:v>
      </x:c>
      <x:c r="L141" s="51" t="str">
        <x:f>IF(J141=0,"OK","Шалгах")</x:f>
        <x:v>OK</x:v>
      </x:c>
      <x:c r="M141" s="51" t="str">
        <x:v>Заслын нийт төсөв</x:v>
      </x:c>
      <x:c r="N141" s="51" t="n">
        <x:v>107</x:v>
      </x:c>
    </x:row>
    <x:row r="142">
      <x:c r="A142" s="51" t="str">
        <x:v>MAT-6R-0128</x:v>
      </x:c>
      <x:c r="B142" s="52" t="str">
        <x:v>Хаалга</x:v>
      </x:c>
      <x:c r="C142" s="52" t="str">
        <x:v>Гадна хаалга</x:v>
      </x:c>
      <x:c r="D142" s="52" t="str"/>
      <x:c r="E142" s="52" t="str">
        <x:v>ш</x:v>
      </x:c>
      <x:c r="F142" s="53" t="n">
        <x:v>152</x:v>
      </x:c>
      <x:c r="G142" s="54" t="n">
        <x:v>750000</x:v>
      </x:c>
      <x:c r="H142" s="54" t="n">
        <x:v>114000000</x:v>
      </x:c>
      <x:c r="I142" s="54" t="n">
        <x:f>IF(AND(ISNUMBER(F142),ISNUMBER(G142)),ROUND(F142*G142,0),H142)</x:f>
        <x:v>114000000</x:v>
      </x:c>
      <x:c r="J142" s="54" t="n">
        <x:f>I142-H142</x:f>
        <x:v>0</x:v>
      </x:c>
      <x:c r="K142" s="51" t="str">
        <x:v>Материал</x:v>
      </x:c>
      <x:c r="L142" s="51" t="str">
        <x:f>IF(J142=0,"OK","Шалгах")</x:f>
        <x:v>OK</x:v>
      </x:c>
      <x:c r="M142" s="51" t="str">
        <x:v>Заслын нийт төсөв</x:v>
      </x:c>
      <x:c r="N142" s="51" t="n">
        <x:v>109</x:v>
      </x:c>
    </x:row>
    <x:row r="143">
      <x:c r="A143" s="51" t="str">
        <x:v>MAT-6R-0129</x:v>
      </x:c>
      <x:c r="B143" s="52" t="str">
        <x:v>Хаалга</x:v>
      </x:c>
      <x:c r="C143" s="52" t="str">
        <x:v>Гадна хаалга бариул</x:v>
      </x:c>
      <x:c r="D143" s="52" t="str"/>
      <x:c r="E143" s="52" t="str">
        <x:v>ш</x:v>
      </x:c>
      <x:c r="F143" s="53" t="n">
        <x:v>152</x:v>
      </x:c>
      <x:c r="G143" s="54" t="n">
        <x:v>750000</x:v>
      </x:c>
      <x:c r="H143" s="54" t="n">
        <x:v>114000000</x:v>
      </x:c>
      <x:c r="I143" s="54" t="n">
        <x:f>IF(AND(ISNUMBER(F143),ISNUMBER(G143)),ROUND(F143*G143,0),H143)</x:f>
        <x:v>114000000</x:v>
      </x:c>
      <x:c r="J143" s="54" t="n">
        <x:f>I143-H143</x:f>
        <x:v>0</x:v>
      </x:c>
      <x:c r="K143" s="51" t="str">
        <x:v>Материал</x:v>
      </x:c>
      <x:c r="L143" s="51" t="str">
        <x:f>IF(J143=0,"OK","Шалгах")</x:f>
        <x:v>OK</x:v>
      </x:c>
      <x:c r="M143" s="51" t="str">
        <x:v>Заслын нийт төсөв</x:v>
      </x:c>
      <x:c r="N143" s="51" t="n">
        <x:v>110</x:v>
      </x:c>
    </x:row>
    <x:row r="144">
      <x:c r="A144" s="51" t="str">
        <x:v>MAT-6R-0130</x:v>
      </x:c>
      <x:c r="B144" s="52" t="str">
        <x:v>Хаалга</x:v>
      </x:c>
      <x:c r="C144" s="52" t="str">
        <x:v>Дотор хаалга /900х2100/</x:v>
      </x:c>
      <x:c r="D144" s="52" t="str"/>
      <x:c r="E144" s="52" t="str">
        <x:v>ш</x:v>
      </x:c>
      <x:c r="F144" s="53" t="n">
        <x:v>159</x:v>
      </x:c>
      <x:c r="G144" s="54" t="n">
        <x:v>550000</x:v>
      </x:c>
      <x:c r="H144" s="54" t="n">
        <x:v>87450000</x:v>
      </x:c>
      <x:c r="I144" s="54" t="n">
        <x:f>IF(AND(ISNUMBER(F144),ISNUMBER(G144)),ROUND(F144*G144,0),H144)</x:f>
        <x:v>87450000</x:v>
      </x:c>
      <x:c r="J144" s="54" t="n">
        <x:f>I144-H144</x:f>
        <x:v>0</x:v>
      </x:c>
      <x:c r="K144" s="51" t="str">
        <x:v>Материал</x:v>
      </x:c>
      <x:c r="L144" s="51" t="str">
        <x:f>IF(J144=0,"OK","Шалгах")</x:f>
        <x:v>OK</x:v>
      </x:c>
      <x:c r="M144" s="51" t="str">
        <x:v>Заслын нийт төсөв</x:v>
      </x:c>
      <x:c r="N144" s="51" t="n">
        <x:v>111</x:v>
      </x:c>
    </x:row>
    <x:row r="145">
      <x:c r="A145" s="51" t="str">
        <x:v>MAT-6R-0131</x:v>
      </x:c>
      <x:c r="B145" s="52" t="str">
        <x:v>Хаалга</x:v>
      </x:c>
      <x:c r="C145" s="52" t="str">
        <x:v>Дотор хаалга /800х2100/</x:v>
      </x:c>
      <x:c r="D145" s="52" t="str"/>
      <x:c r="E145" s="52" t="str">
        <x:v>ш</x:v>
      </x:c>
      <x:c r="F145" s="53" t="n">
        <x:v>166</x:v>
      </x:c>
      <x:c r="G145" s="54" t="n">
        <x:v>450000</x:v>
      </x:c>
      <x:c r="H145" s="54" t="n">
        <x:v>74700000</x:v>
      </x:c>
      <x:c r="I145" s="54" t="n">
        <x:f>IF(AND(ISNUMBER(F145),ISNUMBER(G145)),ROUND(F145*G145,0),H145)</x:f>
        <x:v>74700000</x:v>
      </x:c>
      <x:c r="J145" s="54" t="n">
        <x:f>I145-H145</x:f>
        <x:v>0</x:v>
      </x:c>
      <x:c r="K145" s="51" t="str">
        <x:v>Материал</x:v>
      </x:c>
      <x:c r="L145" s="51" t="str">
        <x:f>IF(J145=0,"OK","Шалгах")</x:f>
        <x:v>OK</x:v>
      </x:c>
      <x:c r="M145" s="51" t="str">
        <x:v>Заслын нийт төсөв</x:v>
      </x:c>
      <x:c r="N145" s="51" t="n">
        <x:v>112</x:v>
      </x:c>
    </x:row>
    <x:row r="146">
      <x:c r="A146" s="51" t="str">
        <x:v>MAT-6R-0132</x:v>
      </x:c>
      <x:c r="B146" s="52" t="str">
        <x:v>Хаалга</x:v>
      </x:c>
      <x:c r="C146" s="52" t="str">
        <x:v>Дотор хаалганы бариул /цоожгүй/</x:v>
      </x:c>
      <x:c r="D146" s="52" t="str"/>
      <x:c r="E146" s="52" t="str">
        <x:v>ш</x:v>
      </x:c>
      <x:c r="F146" s="53" t="n">
        <x:v>159</x:v>
      </x:c>
      <x:c r="G146" s="54" t="n">
        <x:v>35000</x:v>
      </x:c>
      <x:c r="H146" s="54" t="n">
        <x:v>5565000</x:v>
      </x:c>
      <x:c r="I146" s="54" t="n">
        <x:f>IF(AND(ISNUMBER(F146),ISNUMBER(G146)),ROUND(F146*G146,0),H146)</x:f>
        <x:v>5565000</x:v>
      </x:c>
      <x:c r="J146" s="54" t="n">
        <x:f>I146-H146</x:f>
        <x:v>0</x:v>
      </x:c>
      <x:c r="K146" s="51" t="str">
        <x:v>Материал</x:v>
      </x:c>
      <x:c r="L146" s="51" t="str">
        <x:f>IF(J146=0,"OK","Шалгах")</x:f>
        <x:v>OK</x:v>
      </x:c>
      <x:c r="M146" s="51" t="str">
        <x:v>Заслын нийт төсөв</x:v>
      </x:c>
      <x:c r="N146" s="51" t="n">
        <x:v>113</x:v>
      </x:c>
    </x:row>
    <x:row r="147">
      <x:c r="A147" s="51" t="str">
        <x:v>MAT-6R-0133</x:v>
      </x:c>
      <x:c r="B147" s="52" t="str">
        <x:v>Хаалга</x:v>
      </x:c>
      <x:c r="C147" s="52" t="str">
        <x:v>Дотор хаалганы бариул /цоожтой/</x:v>
      </x:c>
      <x:c r="D147" s="52" t="str"/>
      <x:c r="E147" s="52" t="str">
        <x:v>ш</x:v>
      </x:c>
      <x:c r="F147" s="53" t="n">
        <x:v>166</x:v>
      </x:c>
      <x:c r="G147" s="54" t="n">
        <x:v>35000</x:v>
      </x:c>
      <x:c r="H147" s="54" t="n">
        <x:v>5810000</x:v>
      </x:c>
      <x:c r="I147" s="54" t="n">
        <x:f>IF(AND(ISNUMBER(F147),ISNUMBER(G147)),ROUND(F147*G147,0),H147)</x:f>
        <x:v>5810000</x:v>
      </x:c>
      <x:c r="J147" s="54" t="n">
        <x:f>I147-H147</x:f>
        <x:v>0</x:v>
      </x:c>
      <x:c r="K147" s="51" t="str">
        <x:v>Материал</x:v>
      </x:c>
      <x:c r="L147" s="51" t="str">
        <x:f>IF(J147=0,"OK","Шалгах")</x:f>
        <x:v>OK</x:v>
      </x:c>
      <x:c r="M147" s="51" t="str">
        <x:v>Заслын нийт төсөв</x:v>
      </x:c>
      <x:c r="N147" s="51" t="n">
        <x:v>114</x:v>
      </x:c>
    </x:row>
    <x:row r="148">
      <x:c r="A148" s="51" t="str">
        <x:v>MAT-6R-0134</x:v>
      </x:c>
      <x:c r="B148" s="52" t="str">
        <x:v>Хаалга</x:v>
      </x:c>
      <x:c r="C148" s="52" t="str">
        <x:v>Бууны хөөс /бүргэд/</x:v>
      </x:c>
      <x:c r="D148" s="52" t="str"/>
      <x:c r="E148" s="52" t="str">
        <x:v>ш</x:v>
      </x:c>
      <x:c r="F148" s="53" t="n">
        <x:v>230</x:v>
      </x:c>
      <x:c r="G148" s="54" t="n">
        <x:v>88000</x:v>
      </x:c>
      <x:c r="H148" s="54" t="n">
        <x:v>20240000</x:v>
      </x:c>
      <x:c r="I148" s="54" t="n">
        <x:f>IF(AND(ISNUMBER(F148),ISNUMBER(G148)),ROUND(F148*G148,0),H148)</x:f>
        <x:v>20240000</x:v>
      </x:c>
      <x:c r="J148" s="54" t="n">
        <x:f>I148-H148</x:f>
        <x:v>0</x:v>
      </x:c>
      <x:c r="K148" s="51" t="str">
        <x:v>Материал</x:v>
      </x:c>
      <x:c r="L148" s="51" t="str">
        <x:f>IF(J148=0,"OK","Шалгах")</x:f>
        <x:v>OK</x:v>
      </x:c>
      <x:c r="M148" s="51" t="str">
        <x:v>Заслын нийт төсөв</x:v>
      </x:c>
      <x:c r="N148" s="51" t="n">
        <x:v>115</x:v>
      </x:c>
    </x:row>
    <x:row r="149">
      <x:c r="A149" s="51" t="str">
        <x:v>MAT-6R-0135</x:v>
      </x:c>
      <x:c r="B149" s="52" t="str">
        <x:v>Хаалга</x:v>
      </x:c>
      <x:c r="C149" s="52" t="str">
        <x:v>Шилэн хаалга</x:v>
      </x:c>
      <x:c r="D149" s="52" t="str"/>
      <x:c r="E149" s="52" t="str">
        <x:v>м2</x:v>
      </x:c>
      <x:c r="F149" s="53" t="n">
        <x:v>32</x:v>
      </x:c>
      <x:c r="G149" s="54" t="n">
        <x:v>780000</x:v>
      </x:c>
      <x:c r="H149" s="54" t="n">
        <x:v>24960000</x:v>
      </x:c>
      <x:c r="I149" s="54" t="n">
        <x:f>IF(AND(ISNUMBER(F149),ISNUMBER(G149)),ROUND(F149*G149,0),H149)</x:f>
        <x:v>24960000</x:v>
      </x:c>
      <x:c r="J149" s="54" t="n">
        <x:f>I149-H149</x:f>
        <x:v>0</x:v>
      </x:c>
      <x:c r="K149" s="51" t="str">
        <x:v>Материал</x:v>
      </x:c>
      <x:c r="L149" s="51" t="str">
        <x:f>IF(J149=0,"OK","Шалгах")</x:f>
        <x:v>OK</x:v>
      </x:c>
      <x:c r="M149" s="51" t="str">
        <x:v>Заслын нийт төсөв</x:v>
      </x:c>
      <x:c r="N149" s="51" t="n">
        <x:v>116</x:v>
      </x:c>
    </x:row>
    <x:row r="150">
      <x:c r="A150" s="51" t="str">
        <x:v>MAT-6R-0136</x:v>
      </x:c>
      <x:c r="B150" s="52" t="str">
        <x:v>Аваарын шат</x:v>
      </x:c>
      <x:c r="C150" s="52" t="str">
        <x:v>40х40 угольник</x:v>
      </x:c>
      <x:c r="D150" s="52" t="str"/>
      <x:c r="E150" s="52" t="str">
        <x:v>м</x:v>
      </x:c>
      <x:c r="F150" s="53" t="n">
        <x:v>736</x:v>
      </x:c>
      <x:c r="G150" s="54" t="n">
        <x:v>8800</x:v>
      </x:c>
      <x:c r="H150" s="54" t="n">
        <x:v>6476800</x:v>
      </x:c>
      <x:c r="I150" s="54" t="n">
        <x:f>IF(AND(ISNUMBER(F150),ISNUMBER(G150)),ROUND(F150*G150,0),H150)</x:f>
        <x:v>6476800</x:v>
      </x:c>
      <x:c r="J150" s="54" t="n">
        <x:f>I150-H150</x:f>
        <x:v>0</x:v>
      </x:c>
      <x:c r="K150" s="51" t="str">
        <x:v>Материал</x:v>
      </x:c>
      <x:c r="L150" s="51" t="str">
        <x:f>IF(J150=0,"OK","Шалгах")</x:f>
        <x:v>OK</x:v>
      </x:c>
      <x:c r="M150" s="51" t="str">
        <x:v>Заслын нийт төсөв</x:v>
      </x:c>
      <x:c r="N150" s="51" t="n">
        <x:v>118</x:v>
      </x:c>
    </x:row>
    <x:row r="151">
      <x:c r="A151" s="51" t="str">
        <x:v>MAT-6R-0137</x:v>
      </x:c>
      <x:c r="B151" s="52" t="str">
        <x:v>Аваарын шат</x:v>
      </x:c>
      <x:c r="C151" s="52" t="str">
        <x:v>50х50 угольник</x:v>
      </x:c>
      <x:c r="D151" s="52" t="str"/>
      <x:c r="E151" s="52" t="str">
        <x:v>м</x:v>
      </x:c>
      <x:c r="F151" s="53" t="n">
        <x:v>256</x:v>
      </x:c>
      <x:c r="G151" s="54" t="n">
        <x:v>13750</x:v>
      </x:c>
      <x:c r="H151" s="54" t="n">
        <x:v>3520000</x:v>
      </x:c>
      <x:c r="I151" s="54" t="n">
        <x:f>IF(AND(ISNUMBER(F151),ISNUMBER(G151)),ROUND(F151*G151,0),H151)</x:f>
        <x:v>3520000</x:v>
      </x:c>
      <x:c r="J151" s="54" t="n">
        <x:f>I151-H151</x:f>
        <x:v>0</x:v>
      </x:c>
      <x:c r="K151" s="51" t="str">
        <x:v>Материал</x:v>
      </x:c>
      <x:c r="L151" s="51" t="str">
        <x:f>IF(J151=0,"OK","Шалгах")</x:f>
        <x:v>OK</x:v>
      </x:c>
      <x:c r="M151" s="51" t="str">
        <x:v>Заслын нийт төсөв</x:v>
      </x:c>
      <x:c r="N151" s="51" t="n">
        <x:v>119</x:v>
      </x:c>
    </x:row>
    <x:row r="152">
      <x:c r="A152" s="51" t="str">
        <x:v>MAT-6R-0138</x:v>
      </x:c>
      <x:c r="B152" s="52" t="str">
        <x:v>Аваарын шат</x:v>
      </x:c>
      <x:c r="C152" s="52" t="str">
        <x:v>3-н лист төмөр /1.5х3м хэмжээтэй/</x:v>
      </x:c>
      <x:c r="D152" s="52" t="str"/>
      <x:c r="E152" s="52" t="str">
        <x:v>ш</x:v>
      </x:c>
      <x:c r="F152" s="53" t="n">
        <x:v>11</x:v>
      </x:c>
      <x:c r="G152" s="54" t="n">
        <x:v>405000</x:v>
      </x:c>
      <x:c r="H152" s="54" t="n">
        <x:v>4455000</x:v>
      </x:c>
      <x:c r="I152" s="54" t="n">
        <x:f>IF(AND(ISNUMBER(F152),ISNUMBER(G152)),ROUND(F152*G152,0),H152)</x:f>
        <x:v>4455000</x:v>
      </x:c>
      <x:c r="J152" s="54" t="n">
        <x:f>I152-H152</x:f>
        <x:v>0</x:v>
      </x:c>
      <x:c r="K152" s="51" t="str">
        <x:v>Материал</x:v>
      </x:c>
      <x:c r="L152" s="51" t="str">
        <x:f>IF(J152=0,"OK","Шалгах")</x:f>
        <x:v>OK</x:v>
      </x:c>
      <x:c r="M152" s="51" t="str">
        <x:v>Заслын нийт төсөв</x:v>
      </x:c>
      <x:c r="N152" s="51" t="n">
        <x:v>120</x:v>
      </x:c>
    </x:row>
    <x:row r="153">
      <x:c r="A153" s="51" t="str">
        <x:v>MAT-6R-0139</x:v>
      </x:c>
      <x:c r="B153" s="52" t="str">
        <x:v>Аваарын шат</x:v>
      </x:c>
      <x:c r="C153" s="52" t="str">
        <x:v>Зормол нугас</x:v>
      </x:c>
      <x:c r="D153" s="52" t="str"/>
      <x:c r="E153" s="52" t="str">
        <x:v>ш</x:v>
      </x:c>
      <x:c r="F153" s="53" t="n">
        <x:v>160</x:v>
      </x:c>
      <x:c r="G153" s="54" t="n">
        <x:v>4400</x:v>
      </x:c>
      <x:c r="H153" s="54" t="n">
        <x:v>704000</x:v>
      </x:c>
      <x:c r="I153" s="54" t="n">
        <x:f>IF(AND(ISNUMBER(F153),ISNUMBER(G153)),ROUND(F153*G153,0),H153)</x:f>
        <x:v>704000</x:v>
      </x:c>
      <x:c r="J153" s="54" t="n">
        <x:f>I153-H153</x:f>
        <x:v>0</x:v>
      </x:c>
      <x:c r="K153" s="51" t="str">
        <x:v>Материал</x:v>
      </x:c>
      <x:c r="L153" s="51" t="str">
        <x:f>IF(J153=0,"OK","Шалгах")</x:f>
        <x:v>OK</x:v>
      </x:c>
      <x:c r="M153" s="51" t="str">
        <x:v>Заслын нийт төсөв</x:v>
      </x:c>
      <x:c r="N153" s="51" t="n">
        <x:v>121</x:v>
      </x:c>
    </x:row>
    <x:row r="154">
      <x:c r="A154" s="51" t="str">
        <x:v>MAT-6R-0140</x:v>
      </x:c>
      <x:c r="B154" s="52" t="str">
        <x:v>Аваарын шат</x:v>
      </x:c>
      <x:c r="C154" s="52" t="str">
        <x:v>Төмрийн грунт</x:v>
      </x:c>
      <x:c r="D154" s="52" t="str"/>
      <x:c r="E154" s="52" t="str">
        <x:v>л</x:v>
      </x:c>
      <x:c r="F154" s="53" t="n">
        <x:v>28</x:v>
      </x:c>
      <x:c r="G154" s="54" t="n">
        <x:v>27500</x:v>
      </x:c>
      <x:c r="H154" s="54" t="n">
        <x:v>770000</x:v>
      </x:c>
      <x:c r="I154" s="54" t="n">
        <x:f>IF(AND(ISNUMBER(F154),ISNUMBER(G154)),ROUND(F154*G154,0),H154)</x:f>
        <x:v>770000</x:v>
      </x:c>
      <x:c r="J154" s="54" t="n">
        <x:f>I154-H154</x:f>
        <x:v>0</x:v>
      </x:c>
      <x:c r="K154" s="51" t="str">
        <x:v>Материал</x:v>
      </x:c>
      <x:c r="L154" s="51" t="str">
        <x:f>IF(J154=0,"OK","Шалгах")</x:f>
        <x:v>OK</x:v>
      </x:c>
      <x:c r="M154" s="51" t="str">
        <x:v>Заслын нийт төсөв</x:v>
      </x:c>
      <x:c r="N154" s="51" t="n">
        <x:v>122</x:v>
      </x:c>
    </x:row>
    <x:row r="155">
      <x:c r="A155" s="51" t="str">
        <x:v>MAT-6R-0141</x:v>
      </x:c>
      <x:c r="B155" s="52" t="str">
        <x:v>Аваарын шат</x:v>
      </x:c>
      <x:c r="C155" s="52" t="str">
        <x:v>Төмрийн саарал будаг</x:v>
      </x:c>
      <x:c r="D155" s="52" t="str"/>
      <x:c r="E155" s="52" t="str">
        <x:v>л</x:v>
      </x:c>
      <x:c r="F155" s="53" t="n">
        <x:v>33</x:v>
      </x:c>
      <x:c r="G155" s="54" t="n">
        <x:v>12100</x:v>
      </x:c>
      <x:c r="H155" s="54" t="n">
        <x:v>399300</x:v>
      </x:c>
      <x:c r="I155" s="54" t="n">
        <x:f>IF(AND(ISNUMBER(F155),ISNUMBER(G155)),ROUND(F155*G155,0),H155)</x:f>
        <x:v>399300</x:v>
      </x:c>
      <x:c r="J155" s="54" t="n">
        <x:f>I155-H155</x:f>
        <x:v>0</x:v>
      </x:c>
      <x:c r="K155" s="51" t="str">
        <x:v>Материал</x:v>
      </x:c>
      <x:c r="L155" s="51" t="str">
        <x:f>IF(J155=0,"OK","Шалгах")</x:f>
        <x:v>OK</x:v>
      </x:c>
      <x:c r="M155" s="51" t="str">
        <x:v>Заслын нийт төсөв</x:v>
      </x:c>
      <x:c r="N155" s="51" t="n">
        <x:v>123</x:v>
      </x:c>
    </x:row>
    <x:row r="156">
      <x:c r="A156" s="51" t="str">
        <x:v>MAT-6R-0142</x:v>
      </x:c>
      <x:c r="B156" s="52" t="str">
        <x:v>Аваарын шат</x:v>
      </x:c>
      <x:c r="C156" s="52" t="str">
        <x:v>Будаг шингэлэгч</x:v>
      </x:c>
      <x:c r="D156" s="52" t="str"/>
      <x:c r="E156" s="52" t="str">
        <x:v>л</x:v>
      </x:c>
      <x:c r="F156" s="53" t="n">
        <x:v>7</x:v>
      </x:c>
      <x:c r="G156" s="54" t="n">
        <x:v>11000</x:v>
      </x:c>
      <x:c r="H156" s="54" t="n">
        <x:v>77000</x:v>
      </x:c>
      <x:c r="I156" s="54" t="n">
        <x:f>IF(AND(ISNUMBER(F156),ISNUMBER(G156)),ROUND(F156*G156,0),H156)</x:f>
        <x:v>77000</x:v>
      </x:c>
      <x:c r="J156" s="54" t="n">
        <x:f>I156-H156</x:f>
        <x:v>0</x:v>
      </x:c>
      <x:c r="K156" s="51" t="str">
        <x:v>Материал</x:v>
      </x:c>
      <x:c r="L156" s="51" t="str">
        <x:f>IF(J156=0,"OK","Шалгах")</x:f>
        <x:v>OK</x:v>
      </x:c>
      <x:c r="M156" s="51" t="str">
        <x:v>Заслын нийт төсөв</x:v>
      </x:c>
      <x:c r="N156" s="51" t="n">
        <x:v>124</x:v>
      </x:c>
    </x:row>
    <x:row r="157">
      <x:c r="A157" s="51" t="str">
        <x:v>MAT-6R-0143</x:v>
      </x:c>
      <x:c r="B157" s="52" t="str">
        <x:v>Аваарын шат</x:v>
      </x:c>
      <x:c r="C157" s="52" t="str">
        <x:v>Электрод</x:v>
      </x:c>
      <x:c r="D157" s="52" t="str"/>
      <x:c r="E157" s="52" t="str">
        <x:v>хайр</x:v>
      </x:c>
      <x:c r="F157" s="53" t="n">
        <x:v>4</x:v>
      </x:c>
      <x:c r="G157" s="54" t="n">
        <x:v>19800</x:v>
      </x:c>
      <x:c r="H157" s="54" t="n">
        <x:v>79200</x:v>
      </x:c>
      <x:c r="I157" s="54" t="n">
        <x:f>IF(AND(ISNUMBER(F157),ISNUMBER(G157)),ROUND(F157*G157,0),H157)</x:f>
        <x:v>79200</x:v>
      </x:c>
      <x:c r="J157" s="54" t="n">
        <x:f>I157-H157</x:f>
        <x:v>0</x:v>
      </x:c>
      <x:c r="K157" s="51" t="str">
        <x:v>Материал</x:v>
      </x:c>
      <x:c r="L157" s="51" t="str">
        <x:f>IF(J157=0,"OK","Шалгах")</x:f>
        <x:v>OK</x:v>
      </x:c>
      <x:c r="M157" s="51" t="str">
        <x:v>Заслын нийт төсөв</x:v>
      </x:c>
      <x:c r="N157" s="51" t="n">
        <x:v>125</x:v>
      </x:c>
    </x:row>
    <x:row r="158">
      <x:c r="A158" s="51" t="str">
        <x:v>MAT-6R-0144</x:v>
      </x:c>
      <x:c r="B158" s="52" t="str">
        <x:v>Аваарын шат</x:v>
      </x:c>
      <x:c r="C158" s="52" t="str">
        <x:v>Тасдагчийн ир /105тай/</x:v>
      </x:c>
      <x:c r="D158" s="52" t="str"/>
      <x:c r="E158" s="52" t="str">
        <x:v>ш</x:v>
      </x:c>
      <x:c r="F158" s="53" t="n">
        <x:v>80</x:v>
      </x:c>
      <x:c r="G158" s="54" t="n">
        <x:v>600</x:v>
      </x:c>
      <x:c r="H158" s="54" t="n">
        <x:v>48000</x:v>
      </x:c>
      <x:c r="I158" s="54" t="n">
        <x:f>IF(AND(ISNUMBER(F158),ISNUMBER(G158)),ROUND(F158*G158,0),H158)</x:f>
        <x:v>48000</x:v>
      </x:c>
      <x:c r="J158" s="54" t="n">
        <x:f>I158-H158</x:f>
        <x:v>0</x:v>
      </x:c>
      <x:c r="K158" s="51" t="str">
        <x:v>Материал</x:v>
      </x:c>
      <x:c r="L158" s="51" t="str">
        <x:f>IF(J158=0,"OK","Шалгах")</x:f>
        <x:v>OK</x:v>
      </x:c>
      <x:c r="M158" s="51" t="str">
        <x:v>Заслын нийт төсөв</x:v>
      </x:c>
      <x:c r="N158" s="51" t="n">
        <x:v>126</x:v>
      </x:c>
    </x:row>
    <x:row r="159">
      <x:c r="A159" s="51" t="str">
        <x:v>MAT-6R-0145</x:v>
      </x:c>
      <x:c r="B159" s="52" t="str">
        <x:v>Аваарын шат</x:v>
      </x:c>
      <x:c r="C159" s="52" t="str">
        <x:v>Гагнуурын бээлий</x:v>
      </x:c>
      <x:c r="D159" s="52" t="str"/>
      <x:c r="E159" s="52" t="str">
        <x:v>ш</x:v>
      </x:c>
      <x:c r="F159" s="53" t="n">
        <x:v>2</x:v>
      </x:c>
      <x:c r="G159" s="54" t="n">
        <x:v>14300</x:v>
      </x:c>
      <x:c r="H159" s="54" t="n">
        <x:v>28600</x:v>
      </x:c>
      <x:c r="I159" s="54" t="n">
        <x:f>IF(AND(ISNUMBER(F159),ISNUMBER(G159)),ROUND(F159*G159,0),H159)</x:f>
        <x:v>28600</x:v>
      </x:c>
      <x:c r="J159" s="54" t="n">
        <x:f>I159-H159</x:f>
        <x:v>0</x:v>
      </x:c>
      <x:c r="K159" s="51" t="str">
        <x:v>Материал</x:v>
      </x:c>
      <x:c r="L159" s="51" t="str">
        <x:f>IF(J159=0,"OK","Шалгах")</x:f>
        <x:v>OK</x:v>
      </x:c>
      <x:c r="M159" s="51" t="str">
        <x:v>Заслын нийт төсөв</x:v>
      </x:c>
      <x:c r="N159" s="51" t="n">
        <x:v>127</x:v>
      </x:c>
    </x:row>
    <x:row r="160">
      <x:c r="A160" s="51" t="str">
        <x:v>MAT-6R-0146</x:v>
      </x:c>
      <x:c r="B160" s="52" t="str">
        <x:v>Шатны бариул</x:v>
      </x:c>
      <x:c r="C160" s="52" t="str">
        <x:v>ф32 труба</x:v>
      </x:c>
      <x:c r="D160" s="52" t="str"/>
      <x:c r="E160" s="52" t="str">
        <x:v>м</x:v>
      </x:c>
      <x:c r="F160" s="53" t="n">
        <x:v>211</x:v>
      </x:c>
      <x:c r="G160" s="54" t="n">
        <x:v>7400</x:v>
      </x:c>
      <x:c r="H160" s="54" t="n">
        <x:v>1561400</x:v>
      </x:c>
      <x:c r="I160" s="54" t="n">
        <x:f>IF(AND(ISNUMBER(F160),ISNUMBER(G160)),ROUND(F160*G160,0),H160)</x:f>
        <x:v>1561400</x:v>
      </x:c>
      <x:c r="J160" s="54" t="n">
        <x:f>I160-H160</x:f>
        <x:v>0</x:v>
      </x:c>
      <x:c r="K160" s="51" t="str">
        <x:v>Материал</x:v>
      </x:c>
      <x:c r="L160" s="51" t="str">
        <x:f>IF(J160=0,"OK","Шалгах")</x:f>
        <x:v>OK</x:v>
      </x:c>
      <x:c r="M160" s="51" t="str">
        <x:v>Заслын нийт төсөв</x:v>
      </x:c>
      <x:c r="N160" s="51" t="n">
        <x:v>129</x:v>
      </x:c>
    </x:row>
    <x:row r="161">
      <x:c r="A161" s="51" t="str">
        <x:v>MAT-6R-0147</x:v>
      </x:c>
      <x:c r="B161" s="52" t="str">
        <x:v>Шатны бариул</x:v>
      </x:c>
      <x:c r="C161" s="52" t="str">
        <x:v>ф32 отвод</x:v>
      </x:c>
      <x:c r="D161" s="52" t="str"/>
      <x:c r="E161" s="52" t="str">
        <x:v>ш</x:v>
      </x:c>
      <x:c r="F161" s="53" t="n">
        <x:v>52</x:v>
      </x:c>
      <x:c r="G161" s="54" t="n">
        <x:v>4500</x:v>
      </x:c>
      <x:c r="H161" s="54" t="n">
        <x:v>234000</x:v>
      </x:c>
      <x:c r="I161" s="54" t="n">
        <x:f>IF(AND(ISNUMBER(F161),ISNUMBER(G161)),ROUND(F161*G161,0),H161)</x:f>
        <x:v>234000</x:v>
      </x:c>
      <x:c r="J161" s="54" t="n">
        <x:f>I161-H161</x:f>
        <x:v>0</x:v>
      </x:c>
      <x:c r="K161" s="51" t="str">
        <x:v>Материал</x:v>
      </x:c>
      <x:c r="L161" s="51" t="str">
        <x:f>IF(J161=0,"OK","Шалгах")</x:f>
        <x:v>OK</x:v>
      </x:c>
      <x:c r="M161" s="51" t="str">
        <x:v>Заслын нийт төсөв</x:v>
      </x:c>
      <x:c r="N161" s="51" t="n">
        <x:v>130</x:v>
      </x:c>
    </x:row>
    <x:row r="162">
      <x:c r="A162" s="51" t="str">
        <x:v>MAT-6R-0148</x:v>
      </x:c>
      <x:c r="B162" s="52" t="str">
        <x:v>Шатны бариул</x:v>
      </x:c>
      <x:c r="C162" s="52" t="str">
        <x:v>ф20 труба</x:v>
      </x:c>
      <x:c r="D162" s="52" t="str"/>
      <x:c r="E162" s="52" t="str">
        <x:v>м</x:v>
      </x:c>
      <x:c r="F162" s="53" t="n">
        <x:v>182</x:v>
      </x:c>
      <x:c r="G162" s="54" t="n">
        <x:v>2750</x:v>
      </x:c>
      <x:c r="H162" s="54" t="n">
        <x:v>500500</x:v>
      </x:c>
      <x:c r="I162" s="54" t="n">
        <x:f>IF(AND(ISNUMBER(F162),ISNUMBER(G162)),ROUND(F162*G162,0),H162)</x:f>
        <x:v>500500</x:v>
      </x:c>
      <x:c r="J162" s="54" t="n">
        <x:f>I162-H162</x:f>
        <x:v>0</x:v>
      </x:c>
      <x:c r="K162" s="51" t="str">
        <x:v>Материал</x:v>
      </x:c>
      <x:c r="L162" s="51" t="str">
        <x:f>IF(J162=0,"OK","Шалгах")</x:f>
        <x:v>OK</x:v>
      </x:c>
      <x:c r="M162" s="51" t="str">
        <x:v>Заслын нийт төсөв</x:v>
      </x:c>
      <x:c r="N162" s="51" t="n">
        <x:v>131</x:v>
      </x:c>
    </x:row>
    <x:row r="163">
      <x:c r="A163" s="51" t="str">
        <x:v>MAT-6R-0149</x:v>
      </x:c>
      <x:c r="B163" s="52" t="str">
        <x:v>Шатны бариул</x:v>
      </x:c>
      <x:c r="C163" s="52" t="str">
        <x:v>Точилын ир /105-тай/</x:v>
      </x:c>
      <x:c r="D163" s="52" t="str"/>
      <x:c r="E163" s="52" t="str">
        <x:v>ш</x:v>
      </x:c>
      <x:c r="F163" s="53" t="n">
        <x:v>6.5</x:v>
      </x:c>
      <x:c r="G163" s="54" t="n">
        <x:v>5190</x:v>
      </x:c>
      <x:c r="H163" s="54" t="n">
        <x:v>33735</x:v>
      </x:c>
      <x:c r="I163" s="54" t="n">
        <x:f>IF(AND(ISNUMBER(F163),ISNUMBER(G163)),ROUND(F163*G163,0),H163)</x:f>
        <x:v>33735</x:v>
      </x:c>
      <x:c r="J163" s="54" t="n">
        <x:f>I163-H163</x:f>
        <x:v>0</x:v>
      </x:c>
      <x:c r="K163" s="51" t="str">
        <x:v>Материал</x:v>
      </x:c>
      <x:c r="L163" s="51" t="str">
        <x:f>IF(J163=0,"OK","Шалгах")</x:f>
        <x:v>OK</x:v>
      </x:c>
      <x:c r="M163" s="51" t="str">
        <x:v>Заслын нийт төсөв</x:v>
      </x:c>
      <x:c r="N163" s="51" t="n">
        <x:v>132</x:v>
      </x:c>
    </x:row>
    <x:row r="164">
      <x:c r="A164" s="51" t="str">
        <x:v>MAT-6R-0150</x:v>
      </x:c>
      <x:c r="B164" s="52" t="str">
        <x:v>Шатны бариул</x:v>
      </x:c>
      <x:c r="C164" s="52" t="str">
        <x:v>Цаасан зүлгүүр /105-тай/</x:v>
      </x:c>
      <x:c r="D164" s="52" t="str"/>
      <x:c r="E164" s="52" t="str">
        <x:v>ш</x:v>
      </x:c>
      <x:c r="F164" s="53" t="n">
        <x:v>26</x:v>
      </x:c>
      <x:c r="G164" s="54" t="n">
        <x:v>2500</x:v>
      </x:c>
      <x:c r="H164" s="54" t="n">
        <x:v>65000</x:v>
      </x:c>
      <x:c r="I164" s="54" t="n">
        <x:f>IF(AND(ISNUMBER(F164),ISNUMBER(G164)),ROUND(F164*G164,0),H164)</x:f>
        <x:v>65000</x:v>
      </x:c>
      <x:c r="J164" s="54" t="n">
        <x:f>I164-H164</x:f>
        <x:v>0</x:v>
      </x:c>
      <x:c r="K164" s="51" t="str">
        <x:v>Материал</x:v>
      </x:c>
      <x:c r="L164" s="51" t="str">
        <x:f>IF(J164=0,"OK","Шалгах")</x:f>
        <x:v>OK</x:v>
      </x:c>
      <x:c r="M164" s="51" t="str">
        <x:v>Заслын нийт төсөв</x:v>
      </x:c>
      <x:c r="N164" s="51" t="n">
        <x:v>133</x:v>
      </x:c>
    </x:row>
    <x:row r="165">
      <x:c r="A165" s="51" t="str">
        <x:v>MAT-6R-0151</x:v>
      </x:c>
      <x:c r="B165" s="52" t="str">
        <x:v>Шатны бариул</x:v>
      </x:c>
      <x:c r="C165" s="52" t="str">
        <x:v>Авто замаска</x:v>
      </x:c>
      <x:c r="D165" s="52" t="str"/>
      <x:c r="E165" s="52" t="str">
        <x:v>л</x:v>
      </x:c>
      <x:c r="F165" s="53" t="n">
        <x:v>1.3</x:v>
      </x:c>
      <x:c r="G165" s="54" t="n">
        <x:v>33000</x:v>
      </x:c>
      <x:c r="H165" s="54" t="n">
        <x:v>42900</x:v>
      </x:c>
      <x:c r="I165" s="54" t="n">
        <x:f>IF(AND(ISNUMBER(F165),ISNUMBER(G165)),ROUND(F165*G165,0),H165)</x:f>
        <x:v>42900</x:v>
      </x:c>
      <x:c r="J165" s="54" t="n">
        <x:f>I165-H165</x:f>
        <x:v>0</x:v>
      </x:c>
      <x:c r="K165" s="51" t="str">
        <x:v>Материал</x:v>
      </x:c>
      <x:c r="L165" s="51" t="str">
        <x:f>IF(J165=0,"OK","Шалгах")</x:f>
        <x:v>OK</x:v>
      </x:c>
      <x:c r="M165" s="51" t="str">
        <x:v>Заслын нийт төсөв</x:v>
      </x:c>
      <x:c r="N165" s="51" t="n">
        <x:v>134</x:v>
      </x:c>
    </x:row>
    <x:row r="166">
      <x:c r="A166" s="51" t="str">
        <x:v>MAT-6R-0152</x:v>
      </x:c>
      <x:c r="B166" s="52" t="str">
        <x:v>Шатны бариул</x:v>
      </x:c>
      <x:c r="C166" s="52" t="str">
        <x:v>Төмрийн грунт</x:v>
      </x:c>
      <x:c r="D166" s="52" t="str"/>
      <x:c r="E166" s="52" t="str">
        <x:v>л</x:v>
      </x:c>
      <x:c r="F166" s="53" t="n">
        <x:v>5.2</x:v>
      </x:c>
      <x:c r="G166" s="54" t="n">
        <x:v>12100</x:v>
      </x:c>
      <x:c r="H166" s="54" t="n">
        <x:v>62920</x:v>
      </x:c>
      <x:c r="I166" s="54" t="n">
        <x:f>IF(AND(ISNUMBER(F166),ISNUMBER(G166)),ROUND(F166*G166,0),H166)</x:f>
        <x:v>62920</x:v>
      </x:c>
      <x:c r="J166" s="54" t="n">
        <x:f>I166-H166</x:f>
        <x:v>0</x:v>
      </x:c>
      <x:c r="K166" s="51" t="str">
        <x:v>Материал</x:v>
      </x:c>
      <x:c r="L166" s="51" t="str">
        <x:f>IF(J166=0,"OK","Шалгах")</x:f>
        <x:v>OK</x:v>
      </x:c>
      <x:c r="M166" s="51" t="str">
        <x:v>Заслын нийт төсөв</x:v>
      </x:c>
      <x:c r="N166" s="51" t="n">
        <x:v>135</x:v>
      </x:c>
    </x:row>
    <x:row r="167">
      <x:c r="A167" s="51" t="str">
        <x:v>MAT-6R-0153</x:v>
      </x:c>
      <x:c r="B167" s="52" t="str">
        <x:v>Шатны бариул</x:v>
      </x:c>
      <x:c r="C167" s="52" t="str">
        <x:v>Төмрийн саарал будаг</x:v>
      </x:c>
      <x:c r="D167" s="52" t="str"/>
      <x:c r="E167" s="52" t="str">
        <x:v>л</x:v>
      </x:c>
      <x:c r="F167" s="53" t="n">
        <x:v>13</x:v>
      </x:c>
      <x:c r="G167" s="54" t="n">
        <x:v>12100</x:v>
      </x:c>
      <x:c r="H167" s="54" t="n">
        <x:v>157300</x:v>
      </x:c>
      <x:c r="I167" s="54" t="n">
        <x:f>IF(AND(ISNUMBER(F167),ISNUMBER(G167)),ROUND(F167*G167,0),H167)</x:f>
        <x:v>157300</x:v>
      </x:c>
      <x:c r="J167" s="54" t="n">
        <x:f>I167-H167</x:f>
        <x:v>0</x:v>
      </x:c>
      <x:c r="K167" s="51" t="str">
        <x:v>Материал</x:v>
      </x:c>
      <x:c r="L167" s="51" t="str">
        <x:f>IF(J167=0,"OK","Шалгах")</x:f>
        <x:v>OK</x:v>
      </x:c>
      <x:c r="M167" s="51" t="str">
        <x:v>Заслын нийт төсөв</x:v>
      </x:c>
      <x:c r="N167" s="51" t="n">
        <x:v>136</x:v>
      </x:c>
    </x:row>
    <x:row r="168">
      <x:c r="A168" s="51" t="str">
        <x:v>MAT-6R-0154</x:v>
      </x:c>
      <x:c r="B168" s="52" t="str">
        <x:v>Шатны бариул</x:v>
      </x:c>
      <x:c r="C168" s="52" t="str">
        <x:v>Будаг шингэлэгч /500г/</x:v>
      </x:c>
      <x:c r="D168" s="52" t="str"/>
      <x:c r="E168" s="52" t="str">
        <x:v>ш</x:v>
      </x:c>
      <x:c r="F168" s="53" t="n">
        <x:v>6.5</x:v>
      </x:c>
      <x:c r="G168" s="54" t="n">
        <x:v>5500</x:v>
      </x:c>
      <x:c r="H168" s="54" t="n">
        <x:v>35750</x:v>
      </x:c>
      <x:c r="I168" s="54" t="n">
        <x:f>IF(AND(ISNUMBER(F168),ISNUMBER(G168)),ROUND(F168*G168,0),H168)</x:f>
        <x:v>35750</x:v>
      </x:c>
      <x:c r="J168" s="54" t="n">
        <x:f>I168-H168</x:f>
        <x:v>0</x:v>
      </x:c>
      <x:c r="K168" s="51" t="str">
        <x:v>Материал</x:v>
      </x:c>
      <x:c r="L168" s="51" t="str">
        <x:f>IF(J168=0,"OK","Шалгах")</x:f>
        <x:v>OK</x:v>
      </x:c>
      <x:c r="M168" s="51" t="str">
        <x:v>Заслын нийт төсөв</x:v>
      </x:c>
      <x:c r="N168" s="51" t="n">
        <x:v>137</x:v>
      </x:c>
    </x:row>
    <x:row r="169">
      <x:c r="A169" s="51" t="str">
        <x:v>MAT-6R-0155</x:v>
      </x:c>
      <x:c r="B169" s="52" t="str">
        <x:v>Шатны бариул</x:v>
      </x:c>
      <x:c r="C169" s="52" t="str">
        <x:v>Электрод</x:v>
      </x:c>
      <x:c r="D169" s="52" t="str"/>
      <x:c r="E169" s="52" t="str">
        <x:v>хайр</x:v>
      </x:c>
      <x:c r="F169" s="53" t="n">
        <x:v>3</x:v>
      </x:c>
      <x:c r="G169" s="54" t="n">
        <x:v>19800</x:v>
      </x:c>
      <x:c r="H169" s="54" t="n">
        <x:v>59400</x:v>
      </x:c>
      <x:c r="I169" s="54" t="n">
        <x:f>IF(AND(ISNUMBER(F169),ISNUMBER(G169)),ROUND(F169*G169,0),H169)</x:f>
        <x:v>59400</x:v>
      </x:c>
      <x:c r="J169" s="54" t="n">
        <x:f>I169-H169</x:f>
        <x:v>0</x:v>
      </x:c>
      <x:c r="K169" s="51" t="str">
        <x:v>Материал</x:v>
      </x:c>
      <x:c r="L169" s="51" t="str">
        <x:f>IF(J169=0,"OK","Шалгах")</x:f>
        <x:v>OK</x:v>
      </x:c>
      <x:c r="M169" s="51" t="str">
        <x:v>Заслын нийт төсөв</x:v>
      </x:c>
      <x:c r="N169" s="51" t="n">
        <x:v>138</x:v>
      </x:c>
    </x:row>
    <x:row r="170">
      <x:c r="A170" s="51" t="str">
        <x:v>MAT-6R-0156</x:v>
      </x:c>
      <x:c r="B170" s="52" t="str">
        <x:v>Шатны бариул</x:v>
      </x:c>
      <x:c r="C170" s="52" t="str">
        <x:v>Тасдагчийн ир /105-тай/</x:v>
      </x:c>
      <x:c r="D170" s="52" t="str"/>
      <x:c r="E170" s="52" t="str">
        <x:v>ш</x:v>
      </x:c>
      <x:c r="F170" s="53" t="n">
        <x:v>195</x:v>
      </x:c>
      <x:c r="G170" s="54" t="n">
        <x:v>660</x:v>
      </x:c>
      <x:c r="H170" s="54" t="n">
        <x:v>128700</x:v>
      </x:c>
      <x:c r="I170" s="54" t="n">
        <x:f>IF(AND(ISNUMBER(F170),ISNUMBER(G170)),ROUND(F170*G170,0),H170)</x:f>
        <x:v>128700</x:v>
      </x:c>
      <x:c r="J170" s="54" t="n">
        <x:f>I170-H170</x:f>
        <x:v>0</x:v>
      </x:c>
      <x:c r="K170" s="51" t="str">
        <x:v>Материал</x:v>
      </x:c>
      <x:c r="L170" s="51" t="str">
        <x:f>IF(J170=0,"OK","Шалгах")</x:f>
        <x:v>OK</x:v>
      </x:c>
      <x:c r="M170" s="51" t="str">
        <x:v>Заслын нийт төсөв</x:v>
      </x:c>
      <x:c r="N170" s="51" t="n">
        <x:v>139</x:v>
      </x:c>
    </x:row>
    <x:row r="171">
      <x:c r="A171" s="51" t="str">
        <x:v>MAT-6R-0157</x:v>
      </x:c>
      <x:c r="B171" s="52" t="str">
        <x:v>Шатны бариул</x:v>
      </x:c>
      <x:c r="C171" s="52" t="str">
        <x:v>Гагнуурын бээлий</x:v>
      </x:c>
      <x:c r="D171" s="52" t="str"/>
      <x:c r="E171" s="52" t="str">
        <x:v>ш</x:v>
      </x:c>
      <x:c r="F171" s="53" t="n">
        <x:v>2</x:v>
      </x:c>
      <x:c r="G171" s="54" t="n">
        <x:v>25000</x:v>
      </x:c>
      <x:c r="H171" s="54" t="n">
        <x:v>50000</x:v>
      </x:c>
      <x:c r="I171" s="54" t="n">
        <x:f>IF(AND(ISNUMBER(F171),ISNUMBER(G171)),ROUND(F171*G171,0),H171)</x:f>
        <x:v>50000</x:v>
      </x:c>
      <x:c r="J171" s="54" t="n">
        <x:f>I171-H171</x:f>
        <x:v>0</x:v>
      </x:c>
      <x:c r="K171" s="51" t="str">
        <x:v>Материал</x:v>
      </x:c>
      <x:c r="L171" s="51" t="str">
        <x:f>IF(J171=0,"OK","Шалгах")</x:f>
        <x:v>OK</x:v>
      </x:c>
      <x:c r="M171" s="51" t="str">
        <x:v>Заслын нийт төсөв</x:v>
      </x:c>
      <x:c r="N171" s="51" t="n">
        <x:v>140</x:v>
      </x:c>
    </x:row>
    <x:row r="172">
      <x:c r="A172" s="51" t="str">
        <x:v>MAT-6R-0158</x:v>
      </x:c>
      <x:c r="B172" s="52" t="str">
        <x:v>Гал тогооны плитаны ажил</x:v>
      </x:c>
      <x:c r="C172" s="52" t="str">
        <x:v>Плита /300х600/</x:v>
      </x:c>
      <x:c r="D172" s="52" t="str"/>
      <x:c r="E172" s="52" t="str">
        <x:v>ш</x:v>
      </x:c>
      <x:c r="F172" s="53" t="n">
        <x:v>2070</x:v>
      </x:c>
      <x:c r="G172" s="54" t="n">
        <x:v>4000</x:v>
      </x:c>
      <x:c r="H172" s="54" t="n">
        <x:v>8280000</x:v>
      </x:c>
      <x:c r="I172" s="54" t="n">
        <x:f>IF(AND(ISNUMBER(F172),ISNUMBER(G172)),ROUND(F172*G172,0),H172)</x:f>
        <x:v>8280000</x:v>
      </x:c>
      <x:c r="J172" s="54" t="n">
        <x:f>I172-H172</x:f>
        <x:v>0</x:v>
      </x:c>
      <x:c r="K172" s="51" t="str">
        <x:v>Материал</x:v>
      </x:c>
      <x:c r="L172" s="51" t="str">
        <x:f>IF(J172=0,"OK","Шалгах")</x:f>
        <x:v>OK</x:v>
      </x:c>
      <x:c r="M172" s="51" t="str">
        <x:v>Заслын нийт төсөв</x:v>
      </x:c>
      <x:c r="N172" s="51" t="n">
        <x:v>142</x:v>
      </x:c>
    </x:row>
    <x:row r="173">
      <x:c r="A173" s="51" t="str">
        <x:v>MAT-6R-0159</x:v>
      </x:c>
      <x:c r="B173" s="52" t="str">
        <x:v>Гал тогооны плитаны ажил</x:v>
      </x:c>
      <x:c r="C173" s="52" t="str">
        <x:v>Плита цавуу</x:v>
      </x:c>
      <x:c r="D173" s="52" t="str"/>
      <x:c r="E173" s="52" t="str">
        <x:v>кг</x:v>
      </x:c>
      <x:c r="F173" s="53" t="n">
        <x:v>2886</x:v>
      </x:c>
      <x:c r="G173" s="54" t="n">
        <x:v>550</x:v>
      </x:c>
      <x:c r="H173" s="54" t="n">
        <x:v>1587300</x:v>
      </x:c>
      <x:c r="I173" s="54" t="n">
        <x:f>IF(AND(ISNUMBER(F173),ISNUMBER(G173)),ROUND(F173*G173,0),H173)</x:f>
        <x:v>1587300</x:v>
      </x:c>
      <x:c r="J173" s="54" t="n">
        <x:f>I173-H173</x:f>
        <x:v>0</x:v>
      </x:c>
      <x:c r="K173" s="51" t="str">
        <x:v>Материал</x:v>
      </x:c>
      <x:c r="L173" s="51" t="str">
        <x:f>IF(J173=0,"OK","Шалгах")</x:f>
        <x:v>OK</x:v>
      </x:c>
      <x:c r="M173" s="51" t="str">
        <x:v>Заслын нийт төсөв</x:v>
      </x:c>
      <x:c r="N173" s="51" t="n">
        <x:v>143</x:v>
      </x:c>
    </x:row>
    <x:row r="174">
      <x:c r="A174" s="51" t="str">
        <x:v>MAT-6R-0160</x:v>
      </x:c>
      <x:c r="B174" s="52" t="str">
        <x:v>Гал тогооны плитаны ажил</x:v>
      </x:c>
      <x:c r="C174" s="52" t="str">
        <x:v>Плита чигжээс</x:v>
      </x:c>
      <x:c r="D174" s="52" t="str"/>
      <x:c r="E174" s="52" t="str">
        <x:v>кг</x:v>
      </x:c>
      <x:c r="F174" s="53" t="n">
        <x:v>32</x:v>
      </x:c>
      <x:c r="G174" s="54" t="n">
        <x:v>4950</x:v>
      </x:c>
      <x:c r="H174" s="54" t="n">
        <x:v>158400</x:v>
      </x:c>
      <x:c r="I174" s="54" t="n">
        <x:f>IF(AND(ISNUMBER(F174),ISNUMBER(G174)),ROUND(F174*G174,0),H174)</x:f>
        <x:v>158400</x:v>
      </x:c>
      <x:c r="J174" s="54" t="n">
        <x:f>I174-H174</x:f>
        <x:v>0</x:v>
      </x:c>
      <x:c r="K174" s="51" t="str">
        <x:v>Материал</x:v>
      </x:c>
      <x:c r="L174" s="51" t="str">
        <x:f>IF(J174=0,"OK","Шалгах")</x:f>
        <x:v>OK</x:v>
      </x:c>
      <x:c r="M174" s="51" t="str">
        <x:v>Заслын нийт төсөв</x:v>
      </x:c>
      <x:c r="N174" s="51" t="n">
        <x:v>144</x:v>
      </x:c>
    </x:row>
    <x:row r="175">
      <x:c r="A175" s="51" t="str">
        <x:v>MAT-6R-0161</x:v>
      </x:c>
      <x:c r="B175" s="52" t="str">
        <x:v>Гал тогооны плитаны ажил</x:v>
      </x:c>
      <x:c r="C175" s="52" t="str">
        <x:v>Грунт</x:v>
      </x:c>
      <x:c r="D175" s="52" t="str"/>
      <x:c r="E175" s="52" t="str">
        <x:v>л</x:v>
      </x:c>
      <x:c r="F175" s="53" t="n">
        <x:v>60</x:v>
      </x:c>
      <x:c r="G175" s="54" t="n">
        <x:v>8800</x:v>
      </x:c>
      <x:c r="H175" s="54" t="n">
        <x:v>528000</x:v>
      </x:c>
      <x:c r="I175" s="54" t="n">
        <x:f>IF(AND(ISNUMBER(F175),ISNUMBER(G175)),ROUND(F175*G175,0),H175)</x:f>
        <x:v>528000</x:v>
      </x:c>
      <x:c r="J175" s="54" t="n">
        <x:f>I175-H175</x:f>
        <x:v>0</x:v>
      </x:c>
      <x:c r="K175" s="51" t="str">
        <x:v>Материал</x:v>
      </x:c>
      <x:c r="L175" s="51" t="str">
        <x:f>IF(J175=0,"OK","Шалгах")</x:f>
        <x:v>OK</x:v>
      </x:c>
      <x:c r="M175" s="51" t="str">
        <x:v>Заслын нийт төсөв</x:v>
      </x:c>
      <x:c r="N175" s="51" t="n">
        <x:v>145</x:v>
      </x:c>
    </x:row>
    <x:row r="176">
      <x:c r="A176" s="51" t="str">
        <x:v>MAT-6R-0162</x:v>
      </x:c>
      <x:c r="B176" s="52" t="str">
        <x:v>Гал тогооны плитаны ажил</x:v>
      </x:c>
      <x:c r="C176" s="52" t="str">
        <x:v>Өнхрүүш /дунд/</x:v>
      </x:c>
      <x:c r="D176" s="52" t="str"/>
      <x:c r="E176" s="52" t="str">
        <x:v>ш</x:v>
      </x:c>
      <x:c r="F176" s="53" t="n">
        <x:v>17</x:v>
      </x:c>
      <x:c r="G176" s="54" t="n">
        <x:v>1350</x:v>
      </x:c>
      <x:c r="H176" s="54" t="n">
        <x:v>22950</x:v>
      </x:c>
      <x:c r="I176" s="54" t="n">
        <x:f>IF(AND(ISNUMBER(F176),ISNUMBER(G176)),ROUND(F176*G176,0),H176)</x:f>
        <x:v>22950</x:v>
      </x:c>
      <x:c r="J176" s="54" t="n">
        <x:f>I176-H176</x:f>
        <x:v>0</x:v>
      </x:c>
      <x:c r="K176" s="51" t="str">
        <x:v>Материал</x:v>
      </x:c>
      <x:c r="L176" s="51" t="str">
        <x:f>IF(J176=0,"OK","Шалгах")</x:f>
        <x:v>OK</x:v>
      </x:c>
      <x:c r="M176" s="51" t="str">
        <x:v>Заслын нийт төсөв</x:v>
      </x:c>
      <x:c r="N176" s="51" t="n">
        <x:v>146</x:v>
      </x:c>
    </x:row>
    <x:row r="177">
      <x:c r="A177" s="51" t="str">
        <x:v>MAT-6R-0163</x:v>
      </x:c>
      <x:c r="B177" s="52" t="str">
        <x:v>Гал тогооны плитаны ажил</x:v>
      </x:c>
      <x:c r="C177" s="52" t="str">
        <x:v>Плитаны шоо</x:v>
      </x:c>
      <x:c r="D177" s="52" t="str"/>
      <x:c r="E177" s="52" t="str">
        <x:v>ш</x:v>
      </x:c>
      <x:c r="F177" s="53" t="n">
        <x:v>8500</x:v>
      </x:c>
      <x:c r="G177" s="54" t="n">
        <x:v>6</x:v>
      </x:c>
      <x:c r="H177" s="54" t="n">
        <x:v>51000</x:v>
      </x:c>
      <x:c r="I177" s="54" t="n">
        <x:f>IF(AND(ISNUMBER(F177),ISNUMBER(G177)),ROUND(F177*G177,0),H177)</x:f>
        <x:v>51000</x:v>
      </x:c>
      <x:c r="J177" s="54" t="n">
        <x:f>I177-H177</x:f>
        <x:v>0</x:v>
      </x:c>
      <x:c r="K177" s="51" t="str">
        <x:v>Материал</x:v>
      </x:c>
      <x:c r="L177" s="51" t="str">
        <x:f>IF(J177=0,"OK","Шалгах")</x:f>
        <x:v>OK</x:v>
      </x:c>
      <x:c r="M177" s="51" t="str">
        <x:v>Заслын нийт төсөв</x:v>
      </x:c>
      <x:c r="N177" s="51" t="n">
        <x:v>147</x:v>
      </x:c>
    </x:row>
    <x:row r="178">
      <x:c r="A178" s="51" t="str">
        <x:v>MAT-6R-0164</x:v>
      </x:c>
      <x:c r="B178" s="52" t="str">
        <x:v>Айлын үүдний плита</x:v>
      </x:c>
      <x:c r="C178" s="52" t="str">
        <x:v>Плита /600x600/</x:v>
      </x:c>
      <x:c r="D178" s="52" t="str"/>
      <x:c r="E178" s="52" t="str">
        <x:v>ш</x:v>
      </x:c>
      <x:c r="F178" s="53" t="n">
        <x:v>1220</x:v>
      </x:c>
      <x:c r="G178" s="54" t="n">
        <x:v>8130</x:v>
      </x:c>
      <x:c r="H178" s="54" t="n">
        <x:v>9918600</x:v>
      </x:c>
      <x:c r="I178" s="54" t="n">
        <x:f>IF(AND(ISNUMBER(F178),ISNUMBER(G178)),ROUND(F178*G178,0),H178)</x:f>
        <x:v>9918600</x:v>
      </x:c>
      <x:c r="J178" s="54" t="n">
        <x:f>I178-H178</x:f>
        <x:v>0</x:v>
      </x:c>
      <x:c r="K178" s="51" t="str">
        <x:v>Материал</x:v>
      </x:c>
      <x:c r="L178" s="51" t="str">
        <x:f>IF(J178=0,"OK","Шалгах")</x:f>
        <x:v>OK</x:v>
      </x:c>
      <x:c r="M178" s="51" t="str">
        <x:v>Заслын нийт төсөв</x:v>
      </x:c>
      <x:c r="N178" s="51" t="n">
        <x:v>149</x:v>
      </x:c>
    </x:row>
    <x:row r="179">
      <x:c r="A179" s="51" t="str">
        <x:v>MAT-6R-0165</x:v>
      </x:c>
      <x:c r="B179" s="52" t="str">
        <x:v>Айлын үүдний плита</x:v>
      </x:c>
      <x:c r="C179" s="52" t="str">
        <x:v>Плита цавуу</x:v>
      </x:c>
      <x:c r="D179" s="52" t="str"/>
      <x:c r="E179" s="52" t="str">
        <x:v>кг</x:v>
      </x:c>
      <x:c r="F179" s="53" t="n">
        <x:v>4187</x:v>
      </x:c>
      <x:c r="G179" s="54" t="n">
        <x:v>550</x:v>
      </x:c>
      <x:c r="H179" s="54" t="n">
        <x:v>2302850</x:v>
      </x:c>
      <x:c r="I179" s="54" t="n">
        <x:f>IF(AND(ISNUMBER(F179),ISNUMBER(G179)),ROUND(F179*G179,0),H179)</x:f>
        <x:v>2302850</x:v>
      </x:c>
      <x:c r="J179" s="54" t="n">
        <x:f>I179-H179</x:f>
        <x:v>0</x:v>
      </x:c>
      <x:c r="K179" s="51" t="str">
        <x:v>Материал</x:v>
      </x:c>
      <x:c r="L179" s="51" t="str">
        <x:f>IF(J179=0,"OK","Шалгах")</x:f>
        <x:v>OK</x:v>
      </x:c>
      <x:c r="M179" s="51" t="str">
        <x:v>Заслын нийт төсөв</x:v>
      </x:c>
      <x:c r="N179" s="51" t="n">
        <x:v>150</x:v>
      </x:c>
    </x:row>
    <x:row r="180">
      <x:c r="A180" s="51" t="str">
        <x:v>MAT-6R-0166</x:v>
      </x:c>
      <x:c r="B180" s="52" t="str">
        <x:v>Айлын үүдний плита</x:v>
      </x:c>
      <x:c r="C180" s="52" t="str">
        <x:v>Плита чигжээс</x:v>
      </x:c>
      <x:c r="D180" s="52" t="str"/>
      <x:c r="E180" s="52" t="str">
        <x:v>кг</x:v>
      </x:c>
      <x:c r="F180" s="53" t="n">
        <x:v>27</x:v>
      </x:c>
      <x:c r="G180" s="54" t="n">
        <x:v>4950</x:v>
      </x:c>
      <x:c r="H180" s="54" t="n">
        <x:v>133650</x:v>
      </x:c>
      <x:c r="I180" s="54" t="n">
        <x:f>IF(AND(ISNUMBER(F180),ISNUMBER(G180)),ROUND(F180*G180,0),H180)</x:f>
        <x:v>133650</x:v>
      </x:c>
      <x:c r="J180" s="54" t="n">
        <x:f>I180-H180</x:f>
        <x:v>0</x:v>
      </x:c>
      <x:c r="K180" s="51" t="str">
        <x:v>Материал</x:v>
      </x:c>
      <x:c r="L180" s="51" t="str">
        <x:f>IF(J180=0,"OK","Шалгах")</x:f>
        <x:v>OK</x:v>
      </x:c>
      <x:c r="M180" s="51" t="str">
        <x:v>Заслын нийт төсөв</x:v>
      </x:c>
      <x:c r="N180" s="51" t="n">
        <x:v>151</x:v>
      </x:c>
    </x:row>
    <x:row r="181">
      <x:c r="A181" s="51" t="str">
        <x:v>MAT-6R-0167</x:v>
      </x:c>
      <x:c r="B181" s="52" t="str">
        <x:v>Айлын үүдний плита</x:v>
      </x:c>
      <x:c r="C181" s="52" t="str">
        <x:v>Плита шоо</x:v>
      </x:c>
      <x:c r="D181" s="52" t="str"/>
      <x:c r="E181" s="52" t="str">
        <x:v>ш</x:v>
      </x:c>
      <x:c r="F181" s="53" t="n">
        <x:v>16500</x:v>
      </x:c>
      <x:c r="G181" s="54" t="n">
        <x:v>6</x:v>
      </x:c>
      <x:c r="H181" s="54" t="n">
        <x:v>99000</x:v>
      </x:c>
      <x:c r="I181" s="54" t="n">
        <x:f>IF(AND(ISNUMBER(F181),ISNUMBER(G181)),ROUND(F181*G181,0),H181)</x:f>
        <x:v>99000</x:v>
      </x:c>
      <x:c r="J181" s="54" t="n">
        <x:f>I181-H181</x:f>
        <x:v>0</x:v>
      </x:c>
      <x:c r="K181" s="51" t="str">
        <x:v>Материал</x:v>
      </x:c>
      <x:c r="L181" s="51" t="str">
        <x:f>IF(J181=0,"OK","Шалгах")</x:f>
        <x:v>OK</x:v>
      </x:c>
      <x:c r="M181" s="51" t="str">
        <x:v>Заслын нийт төсөв</x:v>
      </x:c>
      <x:c r="N181" s="51" t="n">
        <x:v>152</x:v>
      </x:c>
    </x:row>
    <x:row r="182">
      <x:c r="A182" s="51" t="str">
        <x:v>MAT-6R-0168</x:v>
      </x:c>
      <x:c r="B182" s="52" t="str">
        <x:v>Айлын үүдний плита</x:v>
      </x:c>
      <x:c r="C182" s="52" t="str">
        <x:v>Силикон</x:v>
      </x:c>
      <x:c r="D182" s="52" t="str"/>
      <x:c r="E182" s="52" t="str">
        <x:v>ш</x:v>
      </x:c>
      <x:c r="F182" s="53" t="n">
        <x:v>33</x:v>
      </x:c>
      <x:c r="G182" s="54" t="n">
        <x:v>5500</x:v>
      </x:c>
      <x:c r="H182" s="54" t="n">
        <x:v>181500</x:v>
      </x:c>
      <x:c r="I182" s="54" t="n">
        <x:f>IF(AND(ISNUMBER(F182),ISNUMBER(G182)),ROUND(F182*G182,0),H182)</x:f>
        <x:v>181500</x:v>
      </x:c>
      <x:c r="J182" s="54" t="n">
        <x:f>I182-H182</x:f>
        <x:v>0</x:v>
      </x:c>
      <x:c r="K182" s="51" t="str">
        <x:v>Материал</x:v>
      </x:c>
      <x:c r="L182" s="51" t="str">
        <x:f>IF(J182=0,"OK","Шалгах")</x:f>
        <x:v>OK</x:v>
      </x:c>
      <x:c r="M182" s="51" t="str">
        <x:v>Заслын нийт төсөв</x:v>
      </x:c>
      <x:c r="N182" s="51" t="n">
        <x:v>153</x:v>
      </x:c>
    </x:row>
    <x:row r="183">
      <x:c r="A183" s="51" t="str">
        <x:v>MAT-6R-0169</x:v>
      </x:c>
      <x:c r="B183" s="52" t="str">
        <x:v>Айлын үүдний плита</x:v>
      </x:c>
      <x:c r="C183" s="52" t="str">
        <x:v>Т ам дарагч</x:v>
      </x:c>
      <x:c r="D183" s="52" t="str"/>
      <x:c r="E183" s="52" t="str">
        <x:v>м</x:v>
      </x:c>
      <x:c r="F183" s="53" t="n">
        <x:v>171</x:v>
      </x:c>
      <x:c r="G183" s="54" t="n">
        <x:v>7700</x:v>
      </x:c>
      <x:c r="H183" s="54" t="n">
        <x:v>1316700</x:v>
      </x:c>
      <x:c r="I183" s="54" t="n">
        <x:f>IF(AND(ISNUMBER(F183),ISNUMBER(G183)),ROUND(F183*G183,0),H183)</x:f>
        <x:v>1316700</x:v>
      </x:c>
      <x:c r="J183" s="54" t="n">
        <x:f>I183-H183</x:f>
        <x:v>0</x:v>
      </x:c>
      <x:c r="K183" s="51" t="str">
        <x:v>Материал</x:v>
      </x:c>
      <x:c r="L183" s="51" t="str">
        <x:f>IF(J183=0,"OK","Шалгах")</x:f>
        <x:v>OK</x:v>
      </x:c>
      <x:c r="M183" s="51" t="str">
        <x:v>Заслын нийт төсөв</x:v>
      </x:c>
      <x:c r="N183" s="51" t="n">
        <x:v>154</x:v>
      </x:c>
    </x:row>
    <x:row r="184">
      <x:c r="A184" s="51" t="str">
        <x:v>MAT-6R-0170</x:v>
      </x:c>
      <x:c r="B184" s="52" t="str">
        <x:v>АЦӨ-ний хана, шалны плита</x:v>
      </x:c>
      <x:c r="C184" s="52" t="str">
        <x:v>Плита-б /300x600/</x:v>
      </x:c>
      <x:c r="D184" s="52" t="str"/>
      <x:c r="E184" s="52" t="str">
        <x:v>ш</x:v>
      </x:c>
      <x:c r="F184" s="53" t="n">
        <x:v>5028</x:v>
      </x:c>
      <x:c r="G184" s="54" t="n">
        <x:v>4000</x:v>
      </x:c>
      <x:c r="H184" s="54" t="n">
        <x:v>20112000</x:v>
      </x:c>
      <x:c r="I184" s="54" t="n">
        <x:f>IF(AND(ISNUMBER(F184),ISNUMBER(G184)),ROUND(F184*G184,0),H184)</x:f>
        <x:v>20112000</x:v>
      </x:c>
      <x:c r="J184" s="54" t="n">
        <x:f>I184-H184</x:f>
        <x:v>0</x:v>
      </x:c>
      <x:c r="K184" s="51" t="str">
        <x:v>Материал</x:v>
      </x:c>
      <x:c r="L184" s="51" t="str">
        <x:f>IF(J184=0,"OK","Шалгах")</x:f>
        <x:v>OK</x:v>
      </x:c>
      <x:c r="M184" s="51" t="str">
        <x:v>Заслын нийт төсөв</x:v>
      </x:c>
      <x:c r="N184" s="51" t="n">
        <x:v>156</x:v>
      </x:c>
    </x:row>
    <x:row r="185">
      <x:c r="A185" s="51" t="str">
        <x:v>MAT-6R-0171</x:v>
      </x:c>
      <x:c r="B185" s="52" t="str">
        <x:v>АЦӨ-ний хана, шалны плита</x:v>
      </x:c>
      <x:c r="C185" s="52" t="str">
        <x:v>Плита-ц/300x600/</x:v>
      </x:c>
      <x:c r="D185" s="52" t="str"/>
      <x:c r="E185" s="52" t="str">
        <x:v>ш</x:v>
      </x:c>
      <x:c r="F185" s="53" t="n">
        <x:v>13742</x:v>
      </x:c>
      <x:c r="G185" s="54" t="n">
        <x:v>4000</x:v>
      </x:c>
      <x:c r="H185" s="54" t="n">
        <x:v>54968000</x:v>
      </x:c>
      <x:c r="I185" s="54" t="n">
        <x:f>IF(AND(ISNUMBER(F185),ISNUMBER(G185)),ROUND(F185*G185,0),H185)</x:f>
        <x:v>54968000</x:v>
      </x:c>
      <x:c r="J185" s="54" t="n">
        <x:f>I185-H185</x:f>
        <x:v>0</x:v>
      </x:c>
      <x:c r="K185" s="51" t="str">
        <x:v>Материал</x:v>
      </x:c>
      <x:c r="L185" s="51" t="str">
        <x:f>IF(J185=0,"OK","Шалгах")</x:f>
        <x:v>OK</x:v>
      </x:c>
      <x:c r="M185" s="51" t="str">
        <x:v>Заслын нийт төсөв</x:v>
      </x:c>
      <x:c r="N185" s="51" t="n">
        <x:v>157</x:v>
      </x:c>
    </x:row>
    <x:row r="186">
      <x:c r="A186" s="51" t="str">
        <x:v>MAT-6R-0172</x:v>
      </x:c>
      <x:c r="B186" s="52" t="str">
        <x:v>АЦӨ-ний хана, шалны плита</x:v>
      </x:c>
      <x:c r="C186" s="52" t="str">
        <x:v>Плита /300x300/</x:v>
      </x:c>
      <x:c r="D186" s="52" t="str"/>
      <x:c r="E186" s="52" t="str">
        <x:v>ш</x:v>
      </x:c>
      <x:c r="F186" s="53" t="n">
        <x:v>9856</x:v>
      </x:c>
      <x:c r="G186" s="54" t="n">
        <x:v>2000</x:v>
      </x:c>
      <x:c r="H186" s="54" t="n">
        <x:v>19712000</x:v>
      </x:c>
      <x:c r="I186" s="54" t="n">
        <x:f>IF(AND(ISNUMBER(F186),ISNUMBER(G186)),ROUND(F186*G186,0),H186)</x:f>
        <x:v>19712000</x:v>
      </x:c>
      <x:c r="J186" s="54" t="n">
        <x:f>I186-H186</x:f>
        <x:v>0</x:v>
      </x:c>
      <x:c r="K186" s="51" t="str">
        <x:v>Материал</x:v>
      </x:c>
      <x:c r="L186" s="51" t="str">
        <x:f>IF(J186=0,"OK","Шалгах")</x:f>
        <x:v>OK</x:v>
      </x:c>
      <x:c r="M186" s="51" t="str">
        <x:v>Заслын нийт төсөв</x:v>
      </x:c>
      <x:c r="N186" s="51" t="n">
        <x:v>158</x:v>
      </x:c>
    </x:row>
    <x:row r="187">
      <x:c r="A187" s="51" t="str">
        <x:v>MAT-6R-0173</x:v>
      </x:c>
      <x:c r="B187" s="52" t="str">
        <x:v>АЦӨ-ний хана, шалны плита</x:v>
      </x:c>
      <x:c r="C187" s="52" t="str">
        <x:v>Плита цавуу /25кг/</x:v>
      </x:c>
      <x:c r="D187" s="52" t="str"/>
      <x:c r="E187" s="52" t="str">
        <x:v>уут</x:v>
      </x:c>
      <x:c r="F187" s="53" t="n">
        <x:v>51050</x:v>
      </x:c>
      <x:c r="G187" s="54" t="n">
        <x:v>550</x:v>
      </x:c>
      <x:c r="H187" s="54" t="n">
        <x:v>28077500</x:v>
      </x:c>
      <x:c r="I187" s="54" t="n">
        <x:f>IF(AND(ISNUMBER(F187),ISNUMBER(G187)),ROUND(F187*G187,0),H187)</x:f>
        <x:v>28077500</x:v>
      </x:c>
      <x:c r="J187" s="54" t="n">
        <x:f>I187-H187</x:f>
        <x:v>0</x:v>
      </x:c>
      <x:c r="K187" s="51" t="str">
        <x:v>Материал</x:v>
      </x:c>
      <x:c r="L187" s="51" t="str">
        <x:f>IF(J187=0,"OK","Шалгах")</x:f>
        <x:v>OK</x:v>
      </x:c>
      <x:c r="M187" s="51" t="str">
        <x:v>Заслын нийт төсөв</x:v>
      </x:c>
      <x:c r="N187" s="51" t="n">
        <x:v>159</x:v>
      </x:c>
    </x:row>
    <x:row r="188">
      <x:c r="A188" s="51" t="str">
        <x:v>MAT-6R-0174</x:v>
      </x:c>
      <x:c r="B188" s="52" t="str">
        <x:v>АЦӨ-ний хана, шалны плита</x:v>
      </x:c>
      <x:c r="C188" s="52" t="str">
        <x:v>Плита чигжээс</x:v>
      </x:c>
      <x:c r="D188" s="52" t="str"/>
      <x:c r="E188" s="52" t="str">
        <x:v>кг</x:v>
      </x:c>
      <x:c r="F188" s="53" t="n">
        <x:v>294</x:v>
      </x:c>
      <x:c r="G188" s="54" t="n">
        <x:v>5000</x:v>
      </x:c>
      <x:c r="H188" s="54" t="n">
        <x:v>1470000</x:v>
      </x:c>
      <x:c r="I188" s="54" t="n">
        <x:f>IF(AND(ISNUMBER(F188),ISNUMBER(G188)),ROUND(F188*G188,0),H188)</x:f>
        <x:v>1470000</x:v>
      </x:c>
      <x:c r="J188" s="54" t="n">
        <x:f>I188-H188</x:f>
        <x:v>0</x:v>
      </x:c>
      <x:c r="K188" s="51" t="str">
        <x:v>Материал</x:v>
      </x:c>
      <x:c r="L188" s="51" t="str">
        <x:f>IF(J188=0,"OK","Шалгах")</x:f>
        <x:v>OK</x:v>
      </x:c>
      <x:c r="M188" s="51" t="str">
        <x:v>Заслын нийт төсөв</x:v>
      </x:c>
      <x:c r="N188" s="51" t="n">
        <x:v>160</x:v>
      </x:c>
    </x:row>
    <x:row r="189">
      <x:c r="A189" s="51" t="str">
        <x:v>MAT-6R-0175</x:v>
      </x:c>
      <x:c r="B189" s="52" t="str">
        <x:v>АЦӨ-ний хана, шалны плита</x:v>
      </x:c>
      <x:c r="C189" s="52" t="str">
        <x:v>Грунт /хана/</x:v>
      </x:c>
      <x:c r="D189" s="52" t="str"/>
      <x:c r="E189" s="52" t="str">
        <x:v>л</x:v>
      </x:c>
      <x:c r="F189" s="53" t="n">
        <x:v>166</x:v>
      </x:c>
      <x:c r="G189" s="54" t="n">
        <x:v>8800</x:v>
      </x:c>
      <x:c r="H189" s="54" t="n">
        <x:v>1460800</x:v>
      </x:c>
      <x:c r="I189" s="54" t="n">
        <x:f>IF(AND(ISNUMBER(F189),ISNUMBER(G189)),ROUND(F189*G189,0),H189)</x:f>
        <x:v>1460800</x:v>
      </x:c>
      <x:c r="J189" s="54" t="n">
        <x:f>I189-H189</x:f>
        <x:v>0</x:v>
      </x:c>
      <x:c r="K189" s="51" t="str">
        <x:v>Материал</x:v>
      </x:c>
      <x:c r="L189" s="51" t="str">
        <x:f>IF(J189=0,"OK","Шалгах")</x:f>
        <x:v>OK</x:v>
      </x:c>
      <x:c r="M189" s="51" t="str">
        <x:v>Заслын нийт төсөв</x:v>
      </x:c>
      <x:c r="N189" s="51" t="n">
        <x:v>161</x:v>
      </x:c>
    </x:row>
    <x:row r="190">
      <x:c r="A190" s="51" t="str">
        <x:v>MAT-6R-0176</x:v>
      </x:c>
      <x:c r="B190" s="52" t="str">
        <x:v>АЦӨ-ний хана, шалны плита</x:v>
      </x:c>
      <x:c r="C190" s="52" t="str">
        <x:v>Чийг тусгаарлагч</x:v>
      </x:c>
      <x:c r="D190" s="52" t="str"/>
      <x:c r="E190" s="52" t="str">
        <x:v>л</x:v>
      </x:c>
      <x:c r="F190" s="53" t="n">
        <x:v>460</x:v>
      </x:c>
      <x:c r="G190" s="54" t="n">
        <x:v>14950</x:v>
      </x:c>
      <x:c r="H190" s="54" t="n">
        <x:v>6877000</x:v>
      </x:c>
      <x:c r="I190" s="54" t="n">
        <x:f>IF(AND(ISNUMBER(F190),ISNUMBER(G190)),ROUND(F190*G190,0),H190)</x:f>
        <x:v>6877000</x:v>
      </x:c>
      <x:c r="J190" s="54" t="n">
        <x:f>I190-H190</x:f>
        <x:v>0</x:v>
      </x:c>
      <x:c r="K190" s="51" t="str">
        <x:v>Материал</x:v>
      </x:c>
      <x:c r="L190" s="51" t="str">
        <x:f>IF(J190=0,"OK","Шалгах")</x:f>
        <x:v>OK</x:v>
      </x:c>
      <x:c r="M190" s="51" t="str">
        <x:v>Заслын нийт төсөв</x:v>
      </x:c>
      <x:c r="N190" s="51" t="n">
        <x:v>162</x:v>
      </x:c>
    </x:row>
    <x:row r="191">
      <x:c r="A191" s="51" t="str">
        <x:v>MAT-6R-0177</x:v>
      </x:c>
      <x:c r="B191" s="52" t="str">
        <x:v>АЦӨ-ний хана, шалны плита</x:v>
      </x:c>
      <x:c r="C191" s="52" t="str">
        <x:v>Салхивч /решотка/</x:v>
      </x:c>
      <x:c r="D191" s="52" t="str"/>
      <x:c r="E191" s="52" t="str">
        <x:v>ш</x:v>
      </x:c>
      <x:c r="F191" s="53" t="n">
        <x:v>19</x:v>
      </x:c>
      <x:c r="G191" s="54" t="n">
        <x:v>5500</x:v>
      </x:c>
      <x:c r="H191" s="54" t="n">
        <x:v>104500</x:v>
      </x:c>
      <x:c r="I191" s="54" t="n">
        <x:f>IF(AND(ISNUMBER(F191),ISNUMBER(G191)),ROUND(F191*G191,0),H191)</x:f>
        <x:v>104500</x:v>
      </x:c>
      <x:c r="J191" s="54" t="n">
        <x:f>I191-H191</x:f>
        <x:v>0</x:v>
      </x:c>
      <x:c r="K191" s="51" t="str">
        <x:v>Материал</x:v>
      </x:c>
      <x:c r="L191" s="51" t="str">
        <x:f>IF(J191=0,"OK","Шалгах")</x:f>
        <x:v>OK</x:v>
      </x:c>
      <x:c r="M191" s="51" t="str">
        <x:v>Заслын нийт төсөв</x:v>
      </x:c>
      <x:c r="N191" s="51" t="n">
        <x:v>163</x:v>
      </x:c>
    </x:row>
    <x:row r="192">
      <x:c r="A192" s="51" t="str">
        <x:v>MAT-6R-0178</x:v>
      </x:c>
      <x:c r="B192" s="52" t="str">
        <x:v>АЦӨ-ний хана, шалны плита</x:v>
      </x:c>
      <x:c r="C192" s="52" t="str">
        <x:v>Өнхрүүш /дунд/</x:v>
      </x:c>
      <x:c r="D192" s="52" t="str"/>
      <x:c r="E192" s="52" t="str">
        <x:v>ш</x:v>
      </x:c>
      <x:c r="F192" s="53" t="n">
        <x:v>33</x:v>
      </x:c>
      <x:c r="G192" s="54" t="n">
        <x:v>3850</x:v>
      </x:c>
      <x:c r="H192" s="54" t="n">
        <x:v>127050</x:v>
      </x:c>
      <x:c r="I192" s="54" t="n">
        <x:f>IF(AND(ISNUMBER(F192),ISNUMBER(G192)),ROUND(F192*G192,0),H192)</x:f>
        <x:v>127050</x:v>
      </x:c>
      <x:c r="J192" s="54" t="n">
        <x:f>I192-H192</x:f>
        <x:v>0</x:v>
      </x:c>
      <x:c r="K192" s="51" t="str">
        <x:v>Материал</x:v>
      </x:c>
      <x:c r="L192" s="51" t="str">
        <x:f>IF(J192=0,"OK","Шалгах")</x:f>
        <x:v>OK</x:v>
      </x:c>
      <x:c r="M192" s="51" t="str">
        <x:v>Заслын нийт төсөв</x:v>
      </x:c>
      <x:c r="N192" s="51" t="n">
        <x:v>164</x:v>
      </x:c>
    </x:row>
    <x:row r="193">
      <x:c r="A193" s="51" t="str">
        <x:v>MAT-6R-0179</x:v>
      </x:c>
      <x:c r="B193" s="52" t="str">
        <x:v>АЦӨ-ний хана, шалны плита</x:v>
      </x:c>
      <x:c r="C193" s="52" t="str">
        <x:v>Плитаны шоо</x:v>
      </x:c>
      <x:c r="D193" s="52" t="str"/>
      <x:c r="E193" s="52" t="str">
        <x:v>ш</x:v>
      </x:c>
      <x:c r="F193" s="53" t="n">
        <x:v>73750</x:v>
      </x:c>
      <x:c r="G193" s="54" t="n">
        <x:v>6</x:v>
      </x:c>
      <x:c r="H193" s="54" t="n">
        <x:v>442500</x:v>
      </x:c>
      <x:c r="I193" s="54" t="n">
        <x:f>IF(AND(ISNUMBER(F193),ISNUMBER(G193)),ROUND(F193*G193,0),H193)</x:f>
        <x:v>442500</x:v>
      </x:c>
      <x:c r="J193" s="54" t="n">
        <x:f>I193-H193</x:f>
        <x:v>0</x:v>
      </x:c>
      <x:c r="K193" s="51" t="str">
        <x:v>Материал</x:v>
      </x:c>
      <x:c r="L193" s="51" t="str">
        <x:f>IF(J193=0,"OK","Шалгах")</x:f>
        <x:v>OK</x:v>
      </x:c>
      <x:c r="M193" s="51" t="str">
        <x:v>Заслын нийт төсөв</x:v>
      </x:c>
      <x:c r="N193" s="51" t="n">
        <x:v>165</x:v>
      </x:c>
    </x:row>
    <x:row r="194">
      <x:c r="A194" s="51" t="str">
        <x:v>MAT-6R-0180</x:v>
      </x:c>
      <x:c r="B194" s="52" t="str">
        <x:v>АЦӨ-ний хана, шалны плита</x:v>
      </x:c>
      <x:c r="C194" s="52" t="str">
        <x:v>Хундган өрөм</x:v>
      </x:c>
      <x:c r="D194" s="52" t="str"/>
      <x:c r="E194" s="52" t="str">
        <x:v>ш</x:v>
      </x:c>
      <x:c r="F194" s="53" t="n">
        <x:v>65</x:v>
      </x:c>
      <x:c r="G194" s="54" t="n">
        <x:v>5000</x:v>
      </x:c>
      <x:c r="H194" s="54" t="n">
        <x:v>325000</x:v>
      </x:c>
      <x:c r="I194" s="54" t="n">
        <x:f>IF(AND(ISNUMBER(F194),ISNUMBER(G194)),ROUND(F194*G194,0),H194)</x:f>
        <x:v>325000</x:v>
      </x:c>
      <x:c r="J194" s="54" t="n">
        <x:f>I194-H194</x:f>
        <x:v>0</x:v>
      </x:c>
      <x:c r="K194" s="51" t="str">
        <x:v>Материал</x:v>
      </x:c>
      <x:c r="L194" s="51" t="str">
        <x:f>IF(J194=0,"OK","Шалгах")</x:f>
        <x:v>OK</x:v>
      </x:c>
      <x:c r="M194" s="51" t="str">
        <x:v>Заслын нийт төсөв</x:v>
      </x:c>
      <x:c r="N194" s="51" t="n">
        <x:v>166</x:v>
      </x:c>
    </x:row>
    <x:row r="195">
      <x:c r="A195" s="51" t="str">
        <x:v>MAT-6R-0181</x:v>
      </x:c>
      <x:c r="B195" s="52" t="str">
        <x:v>АЦӨ-ний хана, шалны плита</x:v>
      </x:c>
      <x:c r="C195" s="52" t="str">
        <x:v>Плитаны ир</x:v>
      </x:c>
      <x:c r="D195" s="52" t="str"/>
      <x:c r="E195" s="52" t="str">
        <x:v>ш</x:v>
      </x:c>
      <x:c r="F195" s="53" t="n">
        <x:v>51</x:v>
      </x:c>
      <x:c r="G195" s="54" t="n">
        <x:v>12000</x:v>
      </x:c>
      <x:c r="H195" s="54" t="n">
        <x:v>612000</x:v>
      </x:c>
      <x:c r="I195" s="54" t="n">
        <x:f>IF(AND(ISNUMBER(F195),ISNUMBER(G195)),ROUND(F195*G195,0),H195)</x:f>
        <x:v>612000</x:v>
      </x:c>
      <x:c r="J195" s="54" t="n">
        <x:f>I195-H195</x:f>
        <x:v>0</x:v>
      </x:c>
      <x:c r="K195" s="51" t="str">
        <x:v>Материал</x:v>
      </x:c>
      <x:c r="L195" s="51" t="str">
        <x:f>IF(J195=0,"OK","Шалгах")</x:f>
        <x:v>OK</x:v>
      </x:c>
      <x:c r="M195" s="51" t="str">
        <x:v>Заслын нийт төсөв</x:v>
      </x:c>
      <x:c r="N195" s="51" t="n">
        <x:v>167</x:v>
      </x:c>
    </x:row>
    <x:row r="196">
      <x:c r="A196" s="51" t="str">
        <x:v>MAT-6R-0182</x:v>
      </x:c>
      <x:c r="B196" s="52" t="str">
        <x:v>Балконы шалны плита</x:v>
      </x:c>
      <x:c r="C196" s="52" t="str">
        <x:v>Плита /300x300/</x:v>
      </x:c>
      <x:c r="D196" s="52" t="str"/>
      <x:c r="E196" s="52" t="str">
        <x:v>ш</x:v>
      </x:c>
      <x:c r="F196" s="53" t="n">
        <x:v>5056</x:v>
      </x:c>
      <x:c r="G196" s="54" t="n">
        <x:v>1800</x:v>
      </x:c>
      <x:c r="H196" s="54" t="n">
        <x:v>9100800</x:v>
      </x:c>
      <x:c r="I196" s="54" t="n">
        <x:f>IF(AND(ISNUMBER(F196),ISNUMBER(G196)),ROUND(F196*G196,0),H196)</x:f>
        <x:v>9100800</x:v>
      </x:c>
      <x:c r="J196" s="54" t="n">
        <x:f>I196-H196</x:f>
        <x:v>0</x:v>
      </x:c>
      <x:c r="K196" s="51" t="str">
        <x:v>Материал</x:v>
      </x:c>
      <x:c r="L196" s="51" t="str">
        <x:f>IF(J196=0,"OK","Шалгах")</x:f>
        <x:v>OK</x:v>
      </x:c>
      <x:c r="M196" s="51" t="str">
        <x:v>Заслын нийт төсөв</x:v>
      </x:c>
      <x:c r="N196" s="51" t="n">
        <x:v>169</x:v>
      </x:c>
    </x:row>
    <x:row r="197">
      <x:c r="A197" s="51" t="str">
        <x:v>MAT-6R-0183</x:v>
      </x:c>
      <x:c r="B197" s="52" t="str">
        <x:v>Балконы шалны плита</x:v>
      </x:c>
      <x:c r="C197" s="52" t="str">
        <x:v>Хайрга /0.5-тай/</x:v>
      </x:c>
      <x:c r="D197" s="52" t="str"/>
      <x:c r="E197" s="52" t="str">
        <x:v>м3</x:v>
      </x:c>
      <x:c r="F197" s="53" t="n">
        <x:v>35</x:v>
      </x:c>
      <x:c r="G197" s="54" t="n">
        <x:v>27500</x:v>
      </x:c>
      <x:c r="H197" s="54" t="n">
        <x:v>962500</x:v>
      </x:c>
      <x:c r="I197" s="54" t="n">
        <x:f>IF(AND(ISNUMBER(F197),ISNUMBER(G197)),ROUND(F197*G197,0),H197)</x:f>
        <x:v>962500</x:v>
      </x:c>
      <x:c r="J197" s="54" t="n">
        <x:f>I197-H197</x:f>
        <x:v>0</x:v>
      </x:c>
      <x:c r="K197" s="51" t="str">
        <x:v>Материал</x:v>
      </x:c>
      <x:c r="L197" s="51" t="str">
        <x:f>IF(J197=0,"OK","Шалгах")</x:f>
        <x:v>OK</x:v>
      </x:c>
      <x:c r="M197" s="51" t="str">
        <x:v>Заслын нийт төсөв</x:v>
      </x:c>
      <x:c r="N197" s="51" t="n">
        <x:v>170</x:v>
      </x:c>
    </x:row>
    <x:row r="198">
      <x:c r="A198" s="51" t="str">
        <x:v>MAT-6R-0184</x:v>
      </x:c>
      <x:c r="B198" s="52" t="str">
        <x:v>Балконы шалны плита</x:v>
      </x:c>
      <x:c r="C198" s="52" t="str">
        <x:v>Цемент</x:v>
      </x:c>
      <x:c r="D198" s="52" t="str"/>
      <x:c r="E198" s="52" t="str">
        <x:v>тн</x:v>
      </x:c>
      <x:c r="F198" s="53" t="n">
        <x:v>8</x:v>
      </x:c>
      <x:c r="G198" s="54" t="n">
        <x:v>290000</x:v>
      </x:c>
      <x:c r="H198" s="54" t="n">
        <x:v>2320000</x:v>
      </x:c>
      <x:c r="I198" s="54" t="n">
        <x:f>IF(AND(ISNUMBER(F198),ISNUMBER(G198)),ROUND(F198*G198,0),H198)</x:f>
        <x:v>2320000</x:v>
      </x:c>
      <x:c r="J198" s="54" t="n">
        <x:f>I198-H198</x:f>
        <x:v>0</x:v>
      </x:c>
      <x:c r="K198" s="51" t="str">
        <x:v>Материал</x:v>
      </x:c>
      <x:c r="L198" s="51" t="str">
        <x:f>IF(J198=0,"OK","Шалгах")</x:f>
        <x:v>OK</x:v>
      </x:c>
      <x:c r="M198" s="51" t="str">
        <x:v>Заслын нийт төсөв</x:v>
      </x:c>
      <x:c r="N198" s="51" t="n">
        <x:v>171</x:v>
      </x:c>
    </x:row>
    <x:row r="199">
      <x:c r="A199" s="51" t="str">
        <x:v>MAT-6R-0185</x:v>
      </x:c>
      <x:c r="B199" s="52" t="str">
        <x:v>Бүх чулууны ажил</x:v>
      </x:c>
      <x:c r="C199" s="52" t="str">
        <x:v>Чулуу /600х600/</x:v>
      </x:c>
      <x:c r="D199" s="52" t="str"/>
      <x:c r="E199" s="52" t="str">
        <x:v>ш</x:v>
      </x:c>
      <x:c r="F199" s="53" t="n">
        <x:v>3343</x:v>
      </x:c>
      <x:c r="G199" s="54" t="n">
        <x:v>16350</x:v>
      </x:c>
      <x:c r="H199" s="54" t="n">
        <x:v>54658050</x:v>
      </x:c>
      <x:c r="I199" s="54" t="n">
        <x:f>IF(AND(ISNUMBER(F199),ISNUMBER(G199)),ROUND(F199*G199,0),H199)</x:f>
        <x:v>54658050</x:v>
      </x:c>
      <x:c r="J199" s="54" t="n">
        <x:f>I199-H199</x:f>
        <x:v>0</x:v>
      </x:c>
      <x:c r="K199" s="51" t="str">
        <x:v>Материал</x:v>
      </x:c>
      <x:c r="L199" s="51" t="str">
        <x:f>IF(J199=0,"OK","Шалгах")</x:f>
        <x:v>OK</x:v>
      </x:c>
      <x:c r="M199" s="51" t="str">
        <x:v>Заслын нийт төсөв</x:v>
      </x:c>
      <x:c r="N199" s="51" t="n">
        <x:v>173</x:v>
      </x:c>
    </x:row>
    <x:row r="200">
      <x:c r="A200" s="51" t="str">
        <x:v>MAT-6R-0186</x:v>
      </x:c>
      <x:c r="B200" s="52" t="str">
        <x:v>Бүх чулууны ажил</x:v>
      </x:c>
      <x:c r="C200" s="52" t="str">
        <x:v>Марш шар /300х1150/</x:v>
      </x:c>
      <x:c r="D200" s="52" t="str"/>
      <x:c r="E200" s="52" t="str">
        <x:v>ш</x:v>
      </x:c>
      <x:c r="F200" s="53" t="n">
        <x:v>351</x:v>
      </x:c>
      <x:c r="G200" s="54" t="n">
        <x:v>24400</x:v>
      </x:c>
      <x:c r="H200" s="54" t="n">
        <x:v>8564400</x:v>
      </x:c>
      <x:c r="I200" s="54" t="n">
        <x:f>IF(AND(ISNUMBER(F200),ISNUMBER(G200)),ROUND(F200*G200,0),H200)</x:f>
        <x:v>8564400</x:v>
      </x:c>
      <x:c r="J200" s="54" t="n">
        <x:f>I200-H200</x:f>
        <x:v>0</x:v>
      </x:c>
      <x:c r="K200" s="51" t="str">
        <x:v>Материал</x:v>
      </x:c>
      <x:c r="L200" s="51" t="str">
        <x:f>IF(J200=0,"OK","Шалгах")</x:f>
        <x:v>OK</x:v>
      </x:c>
      <x:c r="M200" s="51" t="str">
        <x:v>Заслын нийт төсөв</x:v>
      </x:c>
      <x:c r="N200" s="51" t="n">
        <x:v>174</x:v>
      </x:c>
    </x:row>
    <x:row r="201">
      <x:c r="A201" s="51" t="str">
        <x:v>MAT-6R-0187</x:v>
      </x:c>
      <x:c r="B201" s="52" t="str">
        <x:v>Бүх чулууны ажил</x:v>
      </x:c>
      <x:c r="C201" s="52" t="str">
        <x:v>Нүүр шар/150х1150/</x:v>
      </x:c>
      <x:c r="D201" s="52" t="str"/>
      <x:c r="E201" s="52" t="str">
        <x:v>ш</x:v>
      </x:c>
      <x:c r="F201" s="53" t="n">
        <x:v>351</x:v>
      </x:c>
      <x:c r="G201" s="54" t="n">
        <x:v>15440</x:v>
      </x:c>
      <x:c r="H201" s="54" t="n">
        <x:v>5419440</x:v>
      </x:c>
      <x:c r="I201" s="54" t="n">
        <x:f>IF(AND(ISNUMBER(F201),ISNUMBER(G201)),ROUND(F201*G201,0),H201)</x:f>
        <x:v>5419440</x:v>
      </x:c>
      <x:c r="J201" s="54" t="n">
        <x:f>I201-H201</x:f>
        <x:v>0</x:v>
      </x:c>
      <x:c r="K201" s="51" t="str">
        <x:v>Материал</x:v>
      </x:c>
      <x:c r="L201" s="51" t="str">
        <x:f>IF(J201=0,"OK","Шалгах")</x:f>
        <x:v>OK</x:v>
      </x:c>
      <x:c r="M201" s="51" t="str">
        <x:v>Заслын нийт төсөв</x:v>
      </x:c>
      <x:c r="N201" s="51" t="n">
        <x:v>175</x:v>
      </x:c>
    </x:row>
    <x:row r="202">
      <x:c r="A202" s="51" t="str">
        <x:v>MAT-6R-0188</x:v>
      </x:c>
      <x:c r="B202" s="52" t="str">
        <x:v>Бүх чулууны ажил</x:v>
      </x:c>
      <x:c r="C202" s="52" t="str">
        <x:v>Цемент</x:v>
      </x:c>
      <x:c r="D202" s="52" t="str"/>
      <x:c r="E202" s="52" t="str">
        <x:v>тн</x:v>
      </x:c>
      <x:c r="F202" s="53" t="n">
        <x:v>33</x:v>
      </x:c>
      <x:c r="G202" s="54" t="n">
        <x:v>290000</x:v>
      </x:c>
      <x:c r="H202" s="54" t="n">
        <x:v>9570000</x:v>
      </x:c>
      <x:c r="I202" s="54" t="n">
        <x:f>IF(AND(ISNUMBER(F202),ISNUMBER(G202)),ROUND(F202*G202,0),H202)</x:f>
        <x:v>9570000</x:v>
      </x:c>
      <x:c r="J202" s="54" t="n">
        <x:f>I202-H202</x:f>
        <x:v>0</x:v>
      </x:c>
      <x:c r="K202" s="51" t="str">
        <x:v>Материал</x:v>
      </x:c>
      <x:c r="L202" s="51" t="str">
        <x:f>IF(J202=0,"OK","Шалгах")</x:f>
        <x:v>OK</x:v>
      </x:c>
      <x:c r="M202" s="51" t="str">
        <x:v>Заслын нийт төсөв</x:v>
      </x:c>
      <x:c r="N202" s="51" t="n">
        <x:v>176</x:v>
      </x:c>
    </x:row>
    <x:row r="203">
      <x:c r="A203" s="51" t="str">
        <x:v>MAT-6R-0189</x:v>
      </x:c>
      <x:c r="B203" s="52" t="str">
        <x:v>Бүх чулууны ажил</x:v>
      </x:c>
      <x:c r="C203" s="52" t="str">
        <x:v>Хайрга /0.5-тай/</x:v>
      </x:c>
      <x:c r="D203" s="52" t="str"/>
      <x:c r="E203" s="52" t="str">
        <x:v>м3</x:v>
      </x:c>
      <x:c r="F203" s="53" t="n">
        <x:v>170</x:v>
      </x:c>
      <x:c r="G203" s="54" t="n">
        <x:v>27500</x:v>
      </x:c>
      <x:c r="H203" s="54" t="n">
        <x:v>4675000</x:v>
      </x:c>
      <x:c r="I203" s="54" t="n">
        <x:f>IF(AND(ISNUMBER(F203),ISNUMBER(G203)),ROUND(F203*G203,0),H203)</x:f>
        <x:v>4675000</x:v>
      </x:c>
      <x:c r="J203" s="54" t="n">
        <x:f>I203-H203</x:f>
        <x:v>0</x:v>
      </x:c>
      <x:c r="K203" s="51" t="str">
        <x:v>Материал</x:v>
      </x:c>
      <x:c r="L203" s="51" t="str">
        <x:f>IF(J203=0,"OK","Шалгах")</x:f>
        <x:v>OK</x:v>
      </x:c>
      <x:c r="M203" s="51" t="str">
        <x:v>Заслын нийт төсөв</x:v>
      </x:c>
      <x:c r="N203" s="51" t="n">
        <x:v>177</x:v>
      </x:c>
    </x:row>
    <x:row r="204">
      <x:c r="A204" s="51" t="str">
        <x:v>MAT-6R-0190</x:v>
      </x:c>
      <x:c r="B204" s="52" t="str">
        <x:v>Бүх чулууны ажил</x:v>
      </x:c>
      <x:c r="C204" s="52" t="str">
        <x:v>Чулууны ир</x:v>
      </x:c>
      <x:c r="D204" s="52" t="str"/>
      <x:c r="E204" s="52" t="str">
        <x:v>ш</x:v>
      </x:c>
      <x:c r="F204" s="53" t="n">
        <x:v>18</x:v>
      </x:c>
      <x:c r="G204" s="54" t="n">
        <x:v>8500</x:v>
      </x:c>
      <x:c r="H204" s="54" t="n">
        <x:v>153000</x:v>
      </x:c>
      <x:c r="I204" s="54" t="n">
        <x:f>IF(AND(ISNUMBER(F204),ISNUMBER(G204)),ROUND(F204*G204,0),H204)</x:f>
        <x:v>153000</x:v>
      </x:c>
      <x:c r="J204" s="54" t="n">
        <x:f>I204-H204</x:f>
        <x:v>0</x:v>
      </x:c>
      <x:c r="K204" s="51" t="str">
        <x:v>Материал</x:v>
      </x:c>
      <x:c r="L204" s="51" t="str">
        <x:f>IF(J204=0,"OK","Шалгах")</x:f>
        <x:v>OK</x:v>
      </x:c>
      <x:c r="M204" s="51" t="str">
        <x:v>Заслын нийт төсөв</x:v>
      </x:c>
      <x:c r="N204" s="51" t="n">
        <x:v>178</x:v>
      </x:c>
    </x:row>
    <x:row r="205">
      <x:c r="A205" s="51" t="str">
        <x:v>MAT-6R-0191</x:v>
      </x:c>
      <x:c r="B205" s="52" t="str">
        <x:v>Бүх чулууны ажил</x:v>
      </x:c>
      <x:c r="C205" s="52" t="str">
        <x:v>Хүрээ плита /В1-17-р дв/, /100х600мм/</x:v>
      </x:c>
      <x:c r="D205" s="52" t="str"/>
      <x:c r="E205" s="52" t="str">
        <x:v>ш</x:v>
      </x:c>
      <x:c r="F205" s="53" t="n">
        <x:v>1870</x:v>
      </x:c>
      <x:c r="G205" s="54" t="n">
        <x:v>1100</x:v>
      </x:c>
      <x:c r="H205" s="54" t="n">
        <x:v>2057000</x:v>
      </x:c>
      <x:c r="I205" s="54" t="n">
        <x:f>IF(AND(ISNUMBER(F205),ISNUMBER(G205)),ROUND(F205*G205,0),H205)</x:f>
        <x:v>2057000</x:v>
      </x:c>
      <x:c r="J205" s="54" t="n">
        <x:f>I205-H205</x:f>
        <x:v>0</x:v>
      </x:c>
      <x:c r="K205" s="51" t="str">
        <x:v>Материал</x:v>
      </x:c>
      <x:c r="L205" s="51" t="str">
        <x:f>IF(J205=0,"OK","Шалгах")</x:f>
        <x:v>OK</x:v>
      </x:c>
      <x:c r="M205" s="51" t="str">
        <x:v>Заслын нийт төсөв</x:v>
      </x:c>
      <x:c r="N205" s="51" t="n">
        <x:v>179</x:v>
      </x:c>
    </x:row>
    <x:row r="206">
      <x:c r="A206" s="51" t="str">
        <x:v>MAT-6R-0192</x:v>
      </x:c>
      <x:c r="B206" s="52" t="str">
        <x:v>Бүх чулууны ажил</x:v>
      </x:c>
      <x:c r="C206" s="52" t="str">
        <x:v>Хүрээ плита /В1-3-р дв/, /300х600мм/</x:v>
      </x:c>
      <x:c r="D206" s="52" t="str"/>
      <x:c r="E206" s="52" t="str">
        <x:v>ш</x:v>
      </x:c>
      <x:c r="F206" s="53" t="n">
        <x:v>46</x:v>
      </x:c>
      <x:c r="G206" s="54" t="n">
        <x:v>5500</x:v>
      </x:c>
      <x:c r="H206" s="54" t="n">
        <x:v>253000</x:v>
      </x:c>
      <x:c r="I206" s="54" t="n">
        <x:f>IF(AND(ISNUMBER(F206),ISNUMBER(G206)),ROUND(F206*G206,0),H206)</x:f>
        <x:v>253000</x:v>
      </x:c>
      <x:c r="J206" s="54" t="n">
        <x:f>I206-H206</x:f>
        <x:v>0</x:v>
      </x:c>
      <x:c r="K206" s="51" t="str">
        <x:v>Материал</x:v>
      </x:c>
      <x:c r="L206" s="51" t="str">
        <x:f>IF(J206=0,"OK","Шалгах")</x:f>
        <x:v>OK</x:v>
      </x:c>
      <x:c r="M206" s="51" t="str">
        <x:v>Заслын нийт төсөв</x:v>
      </x:c>
      <x:c r="N206" s="51" t="n">
        <x:v>180</x:v>
      </x:c>
    </x:row>
    <x:row r="207">
      <x:c r="A207" s="51" t="str">
        <x:v>MAT-6R-0193</x:v>
      </x:c>
      <x:c r="B207" s="52" t="str">
        <x:v>Бүх чулууны ажил</x:v>
      </x:c>
      <x:c r="C207" s="52" t="str">
        <x:v>Силикон /өнгөгүй, хар/</x:v>
      </x:c>
      <x:c r="D207" s="52" t="str"/>
      <x:c r="E207" s="52" t="str">
        <x:v>ш</x:v>
      </x:c>
      <x:c r="F207" s="53" t="n">
        <x:v>342</x:v>
      </x:c>
      <x:c r="G207" s="54" t="n">
        <x:v>5500</x:v>
      </x:c>
      <x:c r="H207" s="54" t="n">
        <x:v>1881000</x:v>
      </x:c>
      <x:c r="I207" s="54" t="n">
        <x:f>IF(AND(ISNUMBER(F207),ISNUMBER(G207)),ROUND(F207*G207,0),H207)</x:f>
        <x:v>1881000</x:v>
      </x:c>
      <x:c r="J207" s="54" t="n">
        <x:f>I207-H207</x:f>
        <x:v>0</x:v>
      </x:c>
      <x:c r="K207" s="51" t="str">
        <x:v>Материал</x:v>
      </x:c>
      <x:c r="L207" s="51" t="str">
        <x:f>IF(J207=0,"OK","Шалгах")</x:f>
        <x:v>OK</x:v>
      </x:c>
      <x:c r="M207" s="51" t="str">
        <x:v>Заслын нийт төсөв</x:v>
      </x:c>
      <x:c r="N207" s="51" t="n">
        <x:v>181</x:v>
      </x:c>
    </x:row>
    <x:row r="208">
      <x:c r="A208" s="51" t="str">
        <x:v>MAT-6R-0194</x:v>
      </x:c>
      <x:c r="B208" s="52" t="str">
        <x:v>Бүх чулууны ажил</x:v>
      </x:c>
      <x:c r="C208" s="52" t="str">
        <x:v>Босгоны чулуу /120х730/</x:v>
      </x:c>
      <x:c r="D208" s="52" t="str"/>
      <x:c r="E208" s="52" t="str">
        <x:v>ш</x:v>
      </x:c>
      <x:c r="F208" s="53" t="n">
        <x:v>132</x:v>
      </x:c>
      <x:c r="G208" s="54" t="n">
        <x:v>18500</x:v>
      </x:c>
      <x:c r="H208" s="54" t="n">
        <x:v>2442000</x:v>
      </x:c>
      <x:c r="I208" s="54" t="n">
        <x:f>IF(AND(ISNUMBER(F208),ISNUMBER(G208)),ROUND(F208*G208,0),H208)</x:f>
        <x:v>2442000</x:v>
      </x:c>
      <x:c r="J208" s="54" t="n">
        <x:f>I208-H208</x:f>
        <x:v>0</x:v>
      </x:c>
      <x:c r="K208" s="51" t="str">
        <x:v>Материал</x:v>
      </x:c>
      <x:c r="L208" s="51" t="str">
        <x:f>IF(J208=0,"OK","Шалгах")</x:f>
        <x:v>OK</x:v>
      </x:c>
      <x:c r="M208" s="51" t="str">
        <x:v>Заслын нийт төсөв</x:v>
      </x:c>
      <x:c r="N208" s="51" t="n">
        <x:v>182</x:v>
      </x:c>
    </x:row>
    <x:row r="209">
      <x:c r="A209" s="51" t="str">
        <x:v>MAT-6R-0195</x:v>
      </x:c>
      <x:c r="B209" s="52" t="str">
        <x:v>Үйлчилгээн шалны плита</x:v>
      </x:c>
      <x:c r="C209" s="52" t="str">
        <x:v>Плита 600*600</x:v>
      </x:c>
      <x:c r="D209" s="52" t="str"/>
      <x:c r="E209" s="52" t="str">
        <x:v>ш</x:v>
      </x:c>
      <x:c r="F209" s="53" t="n">
        <x:v>550</x:v>
      </x:c>
      <x:c r="G209" s="54" t="n">
        <x:v>9000</x:v>
      </x:c>
      <x:c r="H209" s="54" t="n">
        <x:v>4950000</x:v>
      </x:c>
      <x:c r="I209" s="54" t="n">
        <x:f>IF(AND(ISNUMBER(F209),ISNUMBER(G209)),ROUND(F209*G209,0),H209)</x:f>
        <x:v>4950000</x:v>
      </x:c>
      <x:c r="J209" s="54" t="n">
        <x:f>I209-H209</x:f>
        <x:v>0</x:v>
      </x:c>
      <x:c r="K209" s="51" t="str">
        <x:v>Материал</x:v>
      </x:c>
      <x:c r="L209" s="51" t="str">
        <x:f>IF(J209=0,"OK","Шалгах")</x:f>
        <x:v>OK</x:v>
      </x:c>
      <x:c r="M209" s="51" t="str">
        <x:v>Заслын нийт төсөв</x:v>
      </x:c>
      <x:c r="N209" s="51" t="n">
        <x:v>184</x:v>
      </x:c>
    </x:row>
    <x:row r="210">
      <x:c r="A210" s="51" t="str">
        <x:v>MAT-6R-0196</x:v>
      </x:c>
      <x:c r="B210" s="52" t="str">
        <x:v>Үйлчилгээн шалны плита</x:v>
      </x:c>
      <x:c r="C210" s="52" t="str">
        <x:v>Плитан хүрээ 100*600</x:v>
      </x:c>
      <x:c r="D210" s="52" t="str"/>
      <x:c r="E210" s="52" t="str">
        <x:v>ш</x:v>
      </x:c>
      <x:c r="F210" s="53" t="n">
        <x:v>230</x:v>
      </x:c>
      <x:c r="G210" s="54" t="n">
        <x:v>1100</x:v>
      </x:c>
      <x:c r="H210" s="54" t="n">
        <x:v>253000</x:v>
      </x:c>
      <x:c r="I210" s="54" t="n">
        <x:f>IF(AND(ISNUMBER(F210),ISNUMBER(G210)),ROUND(F210*G210,0),H210)</x:f>
        <x:v>253000</x:v>
      </x:c>
      <x:c r="J210" s="54" t="n">
        <x:f>I210-H210</x:f>
        <x:v>0</x:v>
      </x:c>
      <x:c r="K210" s="51" t="str">
        <x:v>Материал</x:v>
      </x:c>
      <x:c r="L210" s="51" t="str">
        <x:f>IF(J210=0,"OK","Шалгах")</x:f>
        <x:v>OK</x:v>
      </x:c>
      <x:c r="M210" s="51" t="str">
        <x:v>Заслын нийт төсөв</x:v>
      </x:c>
      <x:c r="N210" s="51" t="n">
        <x:v>185</x:v>
      </x:c>
    </x:row>
    <x:row r="211">
      <x:c r="A211" s="51" t="str">
        <x:v>MAT-6R-0197</x:v>
      </x:c>
      <x:c r="B211" s="52" t="str">
        <x:v>Үйлчилгээн шалны плита</x:v>
      </x:c>
      <x:c r="C211" s="52" t="str">
        <x:v>Силикон</x:v>
      </x:c>
      <x:c r="D211" s="52" t="str"/>
      <x:c r="E211" s="52" t="str">
        <x:v>ш</x:v>
      </x:c>
      <x:c r="F211" s="53" t="n">
        <x:v>52</x:v>
      </x:c>
      <x:c r="G211" s="54" t="n">
        <x:v>5500</x:v>
      </x:c>
      <x:c r="H211" s="54" t="n">
        <x:v>286000</x:v>
      </x:c>
      <x:c r="I211" s="54" t="n">
        <x:f>IF(AND(ISNUMBER(F211),ISNUMBER(G211)),ROUND(F211*G211,0),H211)</x:f>
        <x:v>286000</x:v>
      </x:c>
      <x:c r="J211" s="54" t="n">
        <x:f>I211-H211</x:f>
        <x:v>0</x:v>
      </x:c>
      <x:c r="K211" s="51" t="str">
        <x:v>Материал</x:v>
      </x:c>
      <x:c r="L211" s="51" t="str">
        <x:f>IF(J211=0,"OK","Шалгах")</x:f>
        <x:v>OK</x:v>
      </x:c>
      <x:c r="M211" s="51" t="str">
        <x:v>Заслын нийт төсөв</x:v>
      </x:c>
      <x:c r="N211" s="51" t="n">
        <x:v>186</x:v>
      </x:c>
    </x:row>
    <x:row r="212">
      <x:c r="A212" s="51" t="str">
        <x:v>MAT-6R-0198</x:v>
      </x:c>
      <x:c r="B212" s="52" t="str">
        <x:v>Үйлчилгээн шалны плита</x:v>
      </x:c>
      <x:c r="C212" s="52" t="str">
        <x:v>Цемент</x:v>
      </x:c>
      <x:c r="D212" s="52" t="str"/>
      <x:c r="E212" s="52" t="str">
        <x:v>тн</x:v>
      </x:c>
      <x:c r="F212" s="53" t="n">
        <x:v>5</x:v>
      </x:c>
      <x:c r="G212" s="54" t="n">
        <x:v>290000</x:v>
      </x:c>
      <x:c r="H212" s="54" t="n">
        <x:v>1450000</x:v>
      </x:c>
      <x:c r="I212" s="54" t="n">
        <x:f>IF(AND(ISNUMBER(F212),ISNUMBER(G212)),ROUND(F212*G212,0),H212)</x:f>
        <x:v>1450000</x:v>
      </x:c>
      <x:c r="J212" s="54" t="n">
        <x:f>I212-H212</x:f>
        <x:v>0</x:v>
      </x:c>
      <x:c r="K212" s="51" t="str">
        <x:v>Материал</x:v>
      </x:c>
      <x:c r="L212" s="51" t="str">
        <x:f>IF(J212=0,"OK","Шалгах")</x:f>
        <x:v>OK</x:v>
      </x:c>
      <x:c r="M212" s="51" t="str">
        <x:v>Заслын нийт төсөв</x:v>
      </x:c>
      <x:c r="N212" s="51" t="n">
        <x:v>187</x:v>
      </x:c>
    </x:row>
    <x:row r="213">
      <x:c r="A213" s="51" t="str">
        <x:v>MAT-6R-0199</x:v>
      </x:c>
      <x:c r="B213" s="52" t="str">
        <x:v>Үйлчилгээн шалны плита</x:v>
      </x:c>
      <x:c r="C213" s="52" t="str">
        <x:v>Хайрга 0.5</x:v>
      </x:c>
      <x:c r="D213" s="52" t="str"/>
      <x:c r="E213" s="52" t="str">
        <x:v>м3</x:v>
      </x:c>
      <x:c r="F213" s="53" t="n">
        <x:v>25</x:v>
      </x:c>
      <x:c r="G213" s="54" t="n">
        <x:v>27500</x:v>
      </x:c>
      <x:c r="H213" s="54" t="n">
        <x:v>687500</x:v>
      </x:c>
      <x:c r="I213" s="54" t="n">
        <x:f>IF(AND(ISNUMBER(F213),ISNUMBER(G213)),ROUND(F213*G213,0),H213)</x:f>
        <x:v>687500</x:v>
      </x:c>
      <x:c r="J213" s="54" t="n">
        <x:f>I213-H213</x:f>
        <x:v>0</x:v>
      </x:c>
      <x:c r="K213" s="51" t="str">
        <x:v>Материал</x:v>
      </x:c>
      <x:c r="L213" s="51" t="str">
        <x:f>IF(J213=0,"OK","Шалгах")</x:f>
        <x:v>OK</x:v>
      </x:c>
      <x:c r="M213" s="51" t="str">
        <x:v>Заслын нийт төсөв</x:v>
      </x:c>
      <x:c r="N213" s="51" t="n">
        <x:v>188</x:v>
      </x:c>
    </x:row>
    <x:row r="214">
      <x:c r="A214" s="51" t="str">
        <x:v>MAT-6R-0200</x:v>
      </x:c>
      <x:c r="B214" s="52" t="str">
        <x:v>Хана, таазны залын ажил</x:v>
      </x:c>
      <x:c r="C214" s="52" t="str">
        <x:v>Цагаан замаска</x:v>
      </x:c>
      <x:c r="D214" s="52" t="str"/>
      <x:c r="E214" s="52" t="str">
        <x:v>кг</x:v>
      </x:c>
      <x:c r="F214" s="53" t="n">
        <x:v>69358</x:v>
      </x:c>
      <x:c r="G214" s="54" t="n">
        <x:v>440</x:v>
      </x:c>
      <x:c r="H214" s="54" t="n">
        <x:v>30517520</x:v>
      </x:c>
      <x:c r="I214" s="54" t="n">
        <x:f>IF(AND(ISNUMBER(F214),ISNUMBER(G214)),ROUND(F214*G214,0),H214)</x:f>
        <x:v>30517520</x:v>
      </x:c>
      <x:c r="J214" s="54" t="n">
        <x:f>I214-H214</x:f>
        <x:v>0</x:v>
      </x:c>
      <x:c r="K214" s="51" t="str">
        <x:v>Материал</x:v>
      </x:c>
      <x:c r="L214" s="51" t="str">
        <x:f>IF(J214=0,"OK","Шалгах")</x:f>
        <x:v>OK</x:v>
      </x:c>
      <x:c r="M214" s="51" t="str">
        <x:v>Заслын нийт төсөв</x:v>
      </x:c>
      <x:c r="N214" s="51" t="n">
        <x:v>190</x:v>
      </x:c>
    </x:row>
    <x:row r="215">
      <x:c r="A215" s="51" t="str">
        <x:v>MAT-6R-0201</x:v>
      </x:c>
      <x:c r="B215" s="52" t="str">
        <x:v>Хана, таазны залын ажил</x:v>
      </x:c>
      <x:c r="C215" s="52" t="str">
        <x:v>Элс /цэвэр/</x:v>
      </x:c>
      <x:c r="D215" s="52" t="str"/>
      <x:c r="E215" s="52" t="str">
        <x:v>м3</x:v>
      </x:c>
      <x:c r="F215" s="53" t="n">
        <x:v>37.5</x:v>
      </x:c>
      <x:c r="G215" s="54" t="n">
        <x:v>19800</x:v>
      </x:c>
      <x:c r="H215" s="54" t="n">
        <x:v>742500</x:v>
      </x:c>
      <x:c r="I215" s="54" t="n">
        <x:f>IF(AND(ISNUMBER(F215),ISNUMBER(G215)),ROUND(F215*G215,0),H215)</x:f>
        <x:v>742500</x:v>
      </x:c>
      <x:c r="J215" s="54" t="n">
        <x:f>I215-H215</x:f>
        <x:v>0</x:v>
      </x:c>
      <x:c r="K215" s="51" t="str">
        <x:v>Материал</x:v>
      </x:c>
      <x:c r="L215" s="51" t="str">
        <x:f>IF(J215=0,"OK","Шалгах")</x:f>
        <x:v>OK</x:v>
      </x:c>
      <x:c r="M215" s="51" t="str">
        <x:v>Заслын нийт төсөв</x:v>
      </x:c>
      <x:c r="N215" s="51" t="n">
        <x:v>191</x:v>
      </x:c>
    </x:row>
    <x:row r="216">
      <x:c r="A216" s="51" t="str">
        <x:v>MAT-6R-0202</x:v>
      </x:c>
      <x:c r="B216" s="52" t="str">
        <x:v>Хана, таазны залын ажил</x:v>
      </x:c>
      <x:c r="C216" s="52" t="str">
        <x:v>Ротбанд</x:v>
      </x:c>
      <x:c r="D216" s="52" t="str"/>
      <x:c r="E216" s="52" t="str">
        <x:v>кг</x:v>
      </x:c>
      <x:c r="F216" s="53" t="n">
        <x:v>27300</x:v>
      </x:c>
      <x:c r="G216" s="54" t="n">
        <x:v>1000</x:v>
      </x:c>
      <x:c r="H216" s="54" t="n">
        <x:v>27300000</x:v>
      </x:c>
      <x:c r="I216" s="54" t="n">
        <x:f>IF(AND(ISNUMBER(F216),ISNUMBER(G216)),ROUND(F216*G216,0),H216)</x:f>
        <x:v>27300000</x:v>
      </x:c>
      <x:c r="J216" s="54" t="n">
        <x:f>I216-H216</x:f>
        <x:v>0</x:v>
      </x:c>
      <x:c r="K216" s="51" t="str">
        <x:v>Материал</x:v>
      </x:c>
      <x:c r="L216" s="51" t="str">
        <x:f>IF(J216=0,"OK","Шалгах")</x:f>
        <x:v>OK</x:v>
      </x:c>
      <x:c r="M216" s="51" t="str">
        <x:v>Заслын нийт төсөв</x:v>
      </x:c>
      <x:c r="N216" s="51" t="n">
        <x:v>192</x:v>
      </x:c>
    </x:row>
    <x:row r="217">
      <x:c r="A217" s="51" t="str">
        <x:v>MAT-6R-0203</x:v>
      </x:c>
      <x:c r="B217" s="52" t="str">
        <x:v>Хана, таазны залын ажил</x:v>
      </x:c>
      <x:c r="C217" s="52" t="str">
        <x:v>Кнауф</x:v>
      </x:c>
      <x:c r="D217" s="52" t="str"/>
      <x:c r="E217" s="52" t="str">
        <x:v>кг</x:v>
      </x:c>
      <x:c r="F217" s="53" t="n">
        <x:v>2127</x:v>
      </x:c>
      <x:c r="G217" s="54" t="n">
        <x:v>1100</x:v>
      </x:c>
      <x:c r="H217" s="54" t="n">
        <x:v>2339700</x:v>
      </x:c>
      <x:c r="I217" s="54" t="n">
        <x:f>IF(AND(ISNUMBER(F217),ISNUMBER(G217)),ROUND(F217*G217,0),H217)</x:f>
        <x:v>2339700</x:v>
      </x:c>
      <x:c r="J217" s="54" t="n">
        <x:f>I217-H217</x:f>
        <x:v>0</x:v>
      </x:c>
      <x:c r="K217" s="51" t="str">
        <x:v>Материал</x:v>
      </x:c>
      <x:c r="L217" s="51" t="str">
        <x:f>IF(J217=0,"OK","Шалгах")</x:f>
        <x:v>OK</x:v>
      </x:c>
      <x:c r="M217" s="51" t="str">
        <x:v>Заслын нийт төсөв</x:v>
      </x:c>
      <x:c r="N217" s="51" t="n">
        <x:v>193</x:v>
      </x:c>
    </x:row>
    <x:row r="218">
      <x:c r="A218" s="51" t="str">
        <x:v>MAT-6R-0204</x:v>
      </x:c>
      <x:c r="B218" s="52" t="str">
        <x:v>Хана, таазны залын ажил</x:v>
      </x:c>
      <x:c r="C218" s="52" t="str">
        <x:v>Цаасан наалт</x:v>
      </x:c>
      <x:c r="D218" s="52" t="str"/>
      <x:c r="E218" s="52" t="str">
        <x:v>ш</x:v>
      </x:c>
      <x:c r="F218" s="53" t="n">
        <x:v>172</x:v>
      </x:c>
      <x:c r="G218" s="54" t="n">
        <x:v>5000</x:v>
      </x:c>
      <x:c r="H218" s="54" t="n">
        <x:v>860000</x:v>
      </x:c>
      <x:c r="I218" s="54" t="n">
        <x:f>IF(AND(ISNUMBER(F218),ISNUMBER(G218)),ROUND(F218*G218,0),H218)</x:f>
        <x:v>860000</x:v>
      </x:c>
      <x:c r="J218" s="54" t="n">
        <x:f>I218-H218</x:f>
        <x:v>0</x:v>
      </x:c>
      <x:c r="K218" s="51" t="str">
        <x:v>Материал</x:v>
      </x:c>
      <x:c r="L218" s="51" t="str">
        <x:f>IF(J218=0,"OK","Шалгах")</x:f>
        <x:v>OK</x:v>
      </x:c>
      <x:c r="M218" s="51" t="str">
        <x:v>Заслын нийт төсөв</x:v>
      </x:c>
      <x:c r="N218" s="51" t="n">
        <x:v>194</x:v>
      </x:c>
    </x:row>
    <x:row r="219">
      <x:c r="A219" s="51" t="str">
        <x:v>MAT-6R-0205</x:v>
      </x:c>
      <x:c r="B219" s="52" t="str">
        <x:v>Хана, таазны залын ажил</x:v>
      </x:c>
      <x:c r="C219" s="52" t="str">
        <x:v>Цавуу 505</x:v>
      </x:c>
      <x:c r="D219" s="52" t="str"/>
      <x:c r="E219" s="52" t="str">
        <x:v>ш</x:v>
      </x:c>
      <x:c r="F219" s="53" t="n">
        <x:v>205</x:v>
      </x:c>
      <x:c r="G219" s="54" t="n">
        <x:v>11000</x:v>
      </x:c>
      <x:c r="H219" s="54" t="n">
        <x:v>2255000</x:v>
      </x:c>
      <x:c r="I219" s="54" t="n">
        <x:f>IF(AND(ISNUMBER(F219),ISNUMBER(G219)),ROUND(F219*G219,0),H219)</x:f>
        <x:v>2255000</x:v>
      </x:c>
      <x:c r="J219" s="54" t="n">
        <x:f>I219-H219</x:f>
        <x:v>0</x:v>
      </x:c>
      <x:c r="K219" s="51" t="str">
        <x:v>Материал</x:v>
      </x:c>
      <x:c r="L219" s="51" t="str">
        <x:f>IF(J219=0,"OK","Шалгах")</x:f>
        <x:v>OK</x:v>
      </x:c>
      <x:c r="M219" s="51" t="str">
        <x:v>Заслын нийт төсөв</x:v>
      </x:c>
      <x:c r="N219" s="51" t="n">
        <x:v>195</x:v>
      </x:c>
    </x:row>
    <x:row r="220">
      <x:c r="A220" s="51" t="str">
        <x:v>MAT-6R-0206</x:v>
      </x:c>
      <x:c r="B220" s="52" t="str">
        <x:v>Хана, таазны залын ажил</x:v>
      </x:c>
      <x:c r="C220" s="52" t="str">
        <x:v>Цавуу 107</x:v>
      </x:c>
      <x:c r="D220" s="52" t="str"/>
      <x:c r="E220" s="52" t="str">
        <x:v>ш</x:v>
      </x:c>
      <x:c r="F220" s="53" t="n">
        <x:v>754</x:v>
      </x:c>
      <x:c r="G220" s="54" t="n">
        <x:v>2750</x:v>
      </x:c>
      <x:c r="H220" s="54" t="n">
        <x:v>2073500</x:v>
      </x:c>
      <x:c r="I220" s="54" t="n">
        <x:f>IF(AND(ISNUMBER(F220),ISNUMBER(G220)),ROUND(F220*G220,0),H220)</x:f>
        <x:v>2073500</x:v>
      </x:c>
      <x:c r="J220" s="54" t="n">
        <x:f>I220-H220</x:f>
        <x:v>0</x:v>
      </x:c>
      <x:c r="K220" s="51" t="str">
        <x:v>Материал</x:v>
      </x:c>
      <x:c r="L220" s="51" t="str">
        <x:f>IF(J220=0,"OK","Шалгах")</x:f>
        <x:v>OK</x:v>
      </x:c>
      <x:c r="M220" s="51" t="str">
        <x:v>Заслын нийт төсөв</x:v>
      </x:c>
      <x:c r="N220" s="51" t="n">
        <x:v>196</x:v>
      </x:c>
    </x:row>
    <x:row r="221">
      <x:c r="A221" s="51" t="str">
        <x:v>MAT-6R-0207</x:v>
      </x:c>
      <x:c r="B221" s="52" t="str">
        <x:v>Хана, таазны залын ажил</x:v>
      </x:c>
      <x:c r="C221" s="52" t="str">
        <x:v>Зүлгүүр /булан/</x:v>
      </x:c>
      <x:c r="D221" s="52" t="str"/>
      <x:c r="E221" s="52" t="str">
        <x:v>ш</x:v>
      </x:c>
      <x:c r="F221" s="53" t="n">
        <x:v>709</x:v>
      </x:c>
      <x:c r="G221" s="54" t="n">
        <x:v>1650</x:v>
      </x:c>
      <x:c r="H221" s="54" t="n">
        <x:v>1169850</x:v>
      </x:c>
      <x:c r="I221" s="54" t="n">
        <x:f>IF(AND(ISNUMBER(F221),ISNUMBER(G221)),ROUND(F221*G221,0),H221)</x:f>
        <x:v>1169850</x:v>
      </x:c>
      <x:c r="J221" s="54" t="n">
        <x:f>I221-H221</x:f>
        <x:v>0</x:v>
      </x:c>
      <x:c r="K221" s="51" t="str">
        <x:v>Материал</x:v>
      </x:c>
      <x:c r="L221" s="51" t="str">
        <x:f>IF(J221=0,"OK","Шалгах")</x:f>
        <x:v>OK</x:v>
      </x:c>
      <x:c r="M221" s="51" t="str">
        <x:v>Заслын нийт төсөв</x:v>
      </x:c>
      <x:c r="N221" s="51" t="n">
        <x:v>197</x:v>
      </x:c>
    </x:row>
    <x:row r="222">
      <x:c r="A222" s="51" t="str">
        <x:v>MAT-6R-0208</x:v>
      </x:c>
      <x:c r="B222" s="52" t="str">
        <x:v>Хана, таазны залын ажил</x:v>
      </x:c>
      <x:c r="C222" s="52" t="str">
        <x:v>Эмульс /8100/, тааз</x:v>
      </x:c>
      <x:c r="D222" s="52" t="str"/>
      <x:c r="E222" s="52" t="str">
        <x:v>л</x:v>
      </x:c>
      <x:c r="F222" s="53" t="n">
        <x:v>1868</x:v>
      </x:c>
      <x:c r="G222" s="54" t="n">
        <x:v>10156</x:v>
      </x:c>
      <x:c r="H222" s="54" t="n">
        <x:v>18971408</x:v>
      </x:c>
      <x:c r="I222" s="54" t="n">
        <x:f>IF(AND(ISNUMBER(F222),ISNUMBER(G222)),ROUND(F222*G222,0),H222)</x:f>
        <x:v>18971408</x:v>
      </x:c>
      <x:c r="J222" s="54" t="n">
        <x:f>I222-H222</x:f>
        <x:v>0</x:v>
      </x:c>
      <x:c r="K222" s="51" t="str">
        <x:v>Материал</x:v>
      </x:c>
      <x:c r="L222" s="51" t="str">
        <x:f>IF(J222=0,"OK","Шалгах")</x:f>
        <x:v>OK</x:v>
      </x:c>
      <x:c r="M222" s="51" t="str">
        <x:v>Заслын нийт төсөв</x:v>
      </x:c>
      <x:c r="N222" s="51" t="n">
        <x:v>198</x:v>
      </x:c>
    </x:row>
    <x:row r="223">
      <x:c r="A223" s="51" t="str">
        <x:v>MAT-6R-0209</x:v>
      </x:c>
      <x:c r="B223" s="52" t="str">
        <x:v>Хана, таазны залын ажил</x:v>
      </x:c>
      <x:c r="C223" s="52" t="str">
        <x:v>Эмульс /8100/, хана өнгө</x:v>
      </x:c>
      <x:c r="D223" s="52" t="str"/>
      <x:c r="E223" s="52" t="str">
        <x:v>л</x:v>
      </x:c>
      <x:c r="F223" s="53" t="n">
        <x:v>472</x:v>
      </x:c>
      <x:c r="G223" s="54" t="n">
        <x:v>10156</x:v>
      </x:c>
      <x:c r="H223" s="54" t="n">
        <x:v>4793632</x:v>
      </x:c>
      <x:c r="I223" s="54" t="n">
        <x:f>IF(AND(ISNUMBER(F223),ISNUMBER(G223)),ROUND(F223*G223,0),H223)</x:f>
        <x:v>4793632</x:v>
      </x:c>
      <x:c r="J223" s="54" t="n">
        <x:f>I223-H223</x:f>
        <x:v>0</x:v>
      </x:c>
      <x:c r="K223" s="51" t="str">
        <x:v>Материал</x:v>
      </x:c>
      <x:c r="L223" s="51" t="str">
        <x:f>IF(J223=0,"OK","Шалгах")</x:f>
        <x:v>OK</x:v>
      </x:c>
      <x:c r="M223" s="51" t="str">
        <x:v>Заслын нийт төсөв</x:v>
      </x:c>
      <x:c r="N223" s="51" t="n">
        <x:v>199</x:v>
      </x:c>
    </x:row>
    <x:row r="224">
      <x:c r="A224" s="51" t="str">
        <x:v>MAT-6R-0210</x:v>
      </x:c>
      <x:c r="B224" s="52" t="str">
        <x:v>Хана, таазны залын ажил</x:v>
      </x:c>
      <x:c r="C224" s="52" t="str">
        <x:v>Грунт</x:v>
      </x:c>
      <x:c r="D224" s="52" t="str"/>
      <x:c r="E224" s="52" t="str">
        <x:v>л</x:v>
      </x:c>
      <x:c r="F224" s="53" t="n">
        <x:v>595</x:v>
      </x:c>
      <x:c r="G224" s="54" t="n">
        <x:v>8800</x:v>
      </x:c>
      <x:c r="H224" s="54" t="n">
        <x:v>5236000</x:v>
      </x:c>
      <x:c r="I224" s="54" t="n">
        <x:f>IF(AND(ISNUMBER(F224),ISNUMBER(G224)),ROUND(F224*G224,0),H224)</x:f>
        <x:v>5236000</x:v>
      </x:c>
      <x:c r="J224" s="54" t="n">
        <x:f>I224-H224</x:f>
        <x:v>0</x:v>
      </x:c>
      <x:c r="K224" s="51" t="str">
        <x:v>Материал</x:v>
      </x:c>
      <x:c r="L224" s="51" t="str">
        <x:f>IF(J224=0,"OK","Шалгах")</x:f>
        <x:v>OK</x:v>
      </x:c>
      <x:c r="M224" s="51" t="str">
        <x:v>Заслын нийт төсөв</x:v>
      </x:c>
      <x:c r="N224" s="51" t="n">
        <x:v>200</x:v>
      </x:c>
    </x:row>
    <x:row r="225">
      <x:c r="A225" s="51" t="str">
        <x:v>MAT-6R-0211</x:v>
      </x:c>
      <x:c r="B225" s="52" t="str">
        <x:v>Хана, таазны залын ажил</x:v>
      </x:c>
      <x:c r="C225" s="52" t="str">
        <x:v>Булан тор /2.4м/</x:v>
      </x:c>
      <x:c r="D225" s="52" t="str"/>
      <x:c r="E225" s="52" t="str">
        <x:v>ш</x:v>
      </x:c>
      <x:c r="F225" s="53" t="n">
        <x:v>7630</x:v>
      </x:c>
      <x:c r="G225" s="54" t="n">
        <x:v>2750</x:v>
      </x:c>
      <x:c r="H225" s="54" t="n">
        <x:v>20982500</x:v>
      </x:c>
      <x:c r="I225" s="54" t="n">
        <x:f>IF(AND(ISNUMBER(F225),ISNUMBER(G225)),ROUND(F225*G225,0),H225)</x:f>
        <x:v>20982500</x:v>
      </x:c>
      <x:c r="J225" s="54" t="n">
        <x:f>I225-H225</x:f>
        <x:v>0</x:v>
      </x:c>
      <x:c r="K225" s="51" t="str">
        <x:v>Материал</x:v>
      </x:c>
      <x:c r="L225" s="51" t="str">
        <x:f>IF(J225=0,"OK","Шалгах")</x:f>
        <x:v>OK</x:v>
      </x:c>
      <x:c r="M225" s="51" t="str">
        <x:v>Заслын нийт төсөв</x:v>
      </x:c>
      <x:c r="N225" s="51" t="n">
        <x:v>201</x:v>
      </x:c>
    </x:row>
    <x:row r="226">
      <x:c r="A226" s="51" t="str">
        <x:v>MAT-6R-0212</x:v>
      </x:c>
      <x:c r="B226" s="52" t="str">
        <x:v>Хана, таазны залын ажил</x:v>
      </x:c>
      <x:c r="C226" s="52" t="str">
        <x:v>Өнхөрүүш /том/</x:v>
      </x:c>
      <x:c r="D226" s="52" t="str"/>
      <x:c r="E226" s="52" t="str">
        <x:v>ш</x:v>
      </x:c>
      <x:c r="F226" s="53" t="n">
        <x:v>139</x:v>
      </x:c>
      <x:c r="G226" s="54" t="n">
        <x:v>3850</x:v>
      </x:c>
      <x:c r="H226" s="54" t="n">
        <x:v>535150</x:v>
      </x:c>
      <x:c r="I226" s="54" t="n">
        <x:f>IF(AND(ISNUMBER(F226),ISNUMBER(G226)),ROUND(F226*G226,0),H226)</x:f>
        <x:v>535150</x:v>
      </x:c>
      <x:c r="J226" s="54" t="n">
        <x:f>I226-H226</x:f>
        <x:v>0</x:v>
      </x:c>
      <x:c r="K226" s="51" t="str">
        <x:v>Материал</x:v>
      </x:c>
      <x:c r="L226" s="51" t="str">
        <x:f>IF(J226=0,"OK","Шалгах")</x:f>
        <x:v>OK</x:v>
      </x:c>
      <x:c r="M226" s="51" t="str">
        <x:v>Заслын нийт төсөв</x:v>
      </x:c>
      <x:c r="N226" s="51" t="n">
        <x:v>202</x:v>
      </x:c>
    </x:row>
    <x:row r="227">
      <x:c r="A227" s="51" t="str">
        <x:v>MAT-6R-0213</x:v>
      </x:c>
      <x:c r="B227" s="52" t="str">
        <x:v>Хана, таазны залын ажил</x:v>
      </x:c>
      <x:c r="C227" s="52" t="str">
        <x:v>Багс /дунд/</x:v>
      </x:c>
      <x:c r="D227" s="52" t="str"/>
      <x:c r="E227" s="52" t="str">
        <x:v>ш</x:v>
      </x:c>
      <x:c r="F227" s="53" t="n">
        <x:v>134</x:v>
      </x:c>
      <x:c r="G227" s="54" t="n">
        <x:v>1650</x:v>
      </x:c>
      <x:c r="H227" s="54" t="n">
        <x:v>221100</x:v>
      </x:c>
      <x:c r="I227" s="54" t="n">
        <x:f>IF(AND(ISNUMBER(F227),ISNUMBER(G227)),ROUND(F227*G227,0),H227)</x:f>
        <x:v>221100</x:v>
      </x:c>
      <x:c r="J227" s="54" t="n">
        <x:f>I227-H227</x:f>
        <x:v>0</x:v>
      </x:c>
      <x:c r="K227" s="51" t="str">
        <x:v>Материал</x:v>
      </x:c>
      <x:c r="L227" s="51" t="str">
        <x:f>IF(J227=0,"OK","Шалгах")</x:f>
        <x:v>OK</x:v>
      </x:c>
      <x:c r="M227" s="51" t="str">
        <x:v>Заслын нийт төсөв</x:v>
      </x:c>
      <x:c r="N227" s="51" t="n">
        <x:v>203</x:v>
      </x:c>
    </x:row>
    <x:row r="228">
      <x:c r="A228" s="51" t="str">
        <x:v>MAT-6R-0214</x:v>
      </x:c>
      <x:c r="B228" s="52" t="str">
        <x:v>Хана, таазны залын ажил</x:v>
      </x:c>
      <x:c r="C228" s="52" t="str">
        <x:v>Обой</x:v>
      </x:c>
      <x:c r="D228" s="52" t="str"/>
      <x:c r="E228" s="52" t="str">
        <x:v>м2</x:v>
      </x:c>
      <x:c r="F228" s="53" t="n">
        <x:v>22300</x:v>
      </x:c>
      <x:c r="G228" s="54" t="n">
        <x:v>5000</x:v>
      </x:c>
      <x:c r="H228" s="54" t="n">
        <x:v>111500000</x:v>
      </x:c>
      <x:c r="I228" s="54" t="n">
        <x:f>IF(AND(ISNUMBER(F228),ISNUMBER(G228)),ROUND(F228*G228,0),H228)</x:f>
        <x:v>111500000</x:v>
      </x:c>
      <x:c r="J228" s="54" t="n">
        <x:f>I228-H228</x:f>
        <x:v>0</x:v>
      </x:c>
      <x:c r="K228" s="51" t="str">
        <x:v>Материал</x:v>
      </x:c>
      <x:c r="L228" s="51" t="str">
        <x:f>IF(J228=0,"OK","Шалгах")</x:f>
        <x:v>OK</x:v>
      </x:c>
      <x:c r="M228" s="51" t="str">
        <x:v>Заслын нийт төсөв</x:v>
      </x:c>
      <x:c r="N228" s="51" t="n">
        <x:v>204</x:v>
      </x:c>
    </x:row>
    <x:row r="229">
      <x:c r="A229" s="51" t="str">
        <x:v>MAT-6R-0215</x:v>
      </x:c>
      <x:c r="B229" s="52" t="str">
        <x:v>Хана, таазны залын ажил</x:v>
      </x:c>
      <x:c r="C229" s="52" t="str">
        <x:v>Обой цавуу 500гр</x:v>
      </x:c>
      <x:c r="D229" s="52" t="str"/>
      <x:c r="E229" s="52" t="str">
        <x:v>ш</x:v>
      </x:c>
      <x:c r="F229" s="53" t="n">
        <x:v>280</x:v>
      </x:c>
      <x:c r="G229" s="54" t="n">
        <x:v>27500</x:v>
      </x:c>
      <x:c r="H229" s="54" t="n">
        <x:v>7700000</x:v>
      </x:c>
      <x:c r="I229" s="54" t="n">
        <x:f>IF(AND(ISNUMBER(F229),ISNUMBER(G229)),ROUND(F229*G229,0),H229)</x:f>
        <x:v>7700000</x:v>
      </x:c>
      <x:c r="J229" s="54" t="n">
        <x:f>I229-H229</x:f>
        <x:v>0</x:v>
      </x:c>
      <x:c r="K229" s="51" t="str">
        <x:v>Материал</x:v>
      </x:c>
      <x:c r="L229" s="51" t="str">
        <x:f>IF(J229=0,"OK","Шалгах")</x:f>
        <x:v>OK</x:v>
      </x:c>
      <x:c r="M229" s="51" t="str">
        <x:v>Заслын нийт төсөв</x:v>
      </x:c>
      <x:c r="N229" s="51" t="n">
        <x:v>205</x:v>
      </x:c>
    </x:row>
    <x:row r="230">
      <x:c r="A230" s="51" t="str">
        <x:v>MAT-6R-0216</x:v>
      </x:c>
      <x:c r="B230" s="52" t="str">
        <x:v>Хана, таазны залын ажил</x:v>
      </x:c>
      <x:c r="C230" s="52" t="str">
        <x:v>Шпатель /PVC/</x:v>
      </x:c>
      <x:c r="D230" s="52" t="str"/>
      <x:c r="E230" s="52" t="str">
        <x:v>ш</x:v>
      </x:c>
      <x:c r="F230" s="53" t="n">
        <x:v>47</x:v>
      </x:c>
      <x:c r="G230" s="54" t="n">
        <x:v>750</x:v>
      </x:c>
      <x:c r="H230" s="54" t="n">
        <x:v>35250</x:v>
      </x:c>
      <x:c r="I230" s="54" t="n">
        <x:f>IF(AND(ISNUMBER(F230),ISNUMBER(G230)),ROUND(F230*G230,0),H230)</x:f>
        <x:v>35250</x:v>
      </x:c>
      <x:c r="J230" s="54" t="n">
        <x:f>I230-H230</x:f>
        <x:v>0</x:v>
      </x:c>
      <x:c r="K230" s="51" t="str">
        <x:v>Материал</x:v>
      </x:c>
      <x:c r="L230" s="51" t="str">
        <x:f>IF(J230=0,"OK","Шалгах")</x:f>
        <x:v>OK</x:v>
      </x:c>
      <x:c r="M230" s="51" t="str">
        <x:v>Заслын нийт төсөв</x:v>
      </x:c>
      <x:c r="N230" s="51" t="n">
        <x:v>206</x:v>
      </x:c>
    </x:row>
    <x:row r="231">
      <x:c r="A231" s="51" t="str">
        <x:v>MAT-6R-0217</x:v>
      </x:c>
      <x:c r="B231" s="52" t="str">
        <x:v>Хана, таазны залын ажил</x:v>
      </x:c>
      <x:c r="C231" s="52" t="str">
        <x:v>Цаасны ир /10-ш/</x:v>
      </x:c>
      <x:c r="D231" s="52" t="str"/>
      <x:c r="E231" s="52" t="str">
        <x:v>ш</x:v>
      </x:c>
      <x:c r="F231" s="53" t="n">
        <x:v>155</x:v>
      </x:c>
      <x:c r="G231" s="54" t="n">
        <x:v>100</x:v>
      </x:c>
      <x:c r="H231" s="54" t="n">
        <x:v>15500</x:v>
      </x:c>
      <x:c r="I231" s="54" t="n">
        <x:f>IF(AND(ISNUMBER(F231),ISNUMBER(G231)),ROUND(F231*G231,0),H231)</x:f>
        <x:v>15500</x:v>
      </x:c>
      <x:c r="J231" s="54" t="n">
        <x:f>I231-H231</x:f>
        <x:v>0</x:v>
      </x:c>
      <x:c r="K231" s="51" t="str">
        <x:v>Материал</x:v>
      </x:c>
      <x:c r="L231" s="51" t="str">
        <x:f>IF(J231=0,"OK","Шалгах")</x:f>
        <x:v>OK</x:v>
      </x:c>
      <x:c r="M231" s="51" t="str">
        <x:v>Заслын нийт төсөв</x:v>
      </x:c>
      <x:c r="N231" s="51" t="n">
        <x:v>207</x:v>
      </x:c>
    </x:row>
    <x:row r="232">
      <x:c r="A232" s="51" t="str">
        <x:v>MAT-6R-0218</x:v>
      </x:c>
      <x:c r="B232" s="52" t="str">
        <x:v>АЦӨ-ний Лампиран металл таазны ажил</x:v>
      </x:c>
      <x:c r="C232" s="52" t="str">
        <x:v>Лампиран тааз /300х300/</x:v>
      </x:c>
      <x:c r="D232" s="52" t="str"/>
      <x:c r="E232" s="52" t="str">
        <x:v>ш</x:v>
      </x:c>
      <x:c r="F232" s="53" t="n">
        <x:v>8317</x:v>
      </x:c>
      <x:c r="G232" s="54" t="n">
        <x:v>3500</x:v>
      </x:c>
      <x:c r="H232" s="54" t="n">
        <x:v>29109500</x:v>
      </x:c>
      <x:c r="I232" s="54" t="n">
        <x:f>IF(AND(ISNUMBER(F232),ISNUMBER(G232)),ROUND(F232*G232,0),H232)</x:f>
        <x:v>29109500</x:v>
      </x:c>
      <x:c r="J232" s="54" t="n">
        <x:f>I232-H232</x:f>
        <x:v>0</x:v>
      </x:c>
      <x:c r="K232" s="51" t="str">
        <x:v>Материал</x:v>
      </x:c>
      <x:c r="L232" s="51" t="str">
        <x:f>IF(J232=0,"OK","Шалгах")</x:f>
        <x:v>OK</x:v>
      </x:c>
      <x:c r="M232" s="51" t="str">
        <x:v>Заслын нийт төсөв</x:v>
      </x:c>
      <x:c r="N232" s="51" t="n">
        <x:v>209</x:v>
      </x:c>
    </x:row>
    <x:row r="233">
      <x:c r="A233" s="51" t="str">
        <x:v>MAT-6R-0219</x:v>
      </x:c>
      <x:c r="B233" s="52" t="str">
        <x:v>АЦӨ-ний Лампиран металл таазны ажил</x:v>
      </x:c>
      <x:c r="C233" s="52" t="str">
        <x:v>Си төмөр /60*27/</x:v>
      </x:c>
      <x:c r="D233" s="52" t="str"/>
      <x:c r="E233" s="52" t="str">
        <x:v>ш</x:v>
      </x:c>
      <x:c r="F233" s="53" t="n">
        <x:v>294</x:v>
      </x:c>
      <x:c r="G233" s="54" t="n">
        <x:v>6600</x:v>
      </x:c>
      <x:c r="H233" s="54" t="n">
        <x:v>1940400</x:v>
      </x:c>
      <x:c r="I233" s="54" t="n">
        <x:f>IF(AND(ISNUMBER(F233),ISNUMBER(G233)),ROUND(F233*G233,0),H233)</x:f>
        <x:v>1940400</x:v>
      </x:c>
      <x:c r="J233" s="54" t="n">
        <x:f>I233-H233</x:f>
        <x:v>0</x:v>
      </x:c>
      <x:c r="K233" s="51" t="str">
        <x:v>Материал</x:v>
      </x:c>
      <x:c r="L233" s="51" t="str">
        <x:f>IF(J233=0,"OK","Шалгах")</x:f>
        <x:v>OK</x:v>
      </x:c>
      <x:c r="M233" s="51" t="str">
        <x:v>Заслын нийт төсөв</x:v>
      </x:c>
      <x:c r="N233" s="51" t="n">
        <x:v>210</x:v>
      </x:c>
    </x:row>
    <x:row r="234">
      <x:c r="A234" s="51" t="str">
        <x:v>MAT-6R-0220</x:v>
      </x:c>
      <x:c r="B234" s="52" t="str">
        <x:v>АЦӨ-ний Лампиран металл таазны ажил</x:v>
      </x:c>
      <x:c r="C234" s="52" t="str">
        <x:v>Зам төмөр /Т/- /3м/</x:v>
      </x:c>
      <x:c r="D234" s="52" t="str"/>
      <x:c r="E234" s="52" t="str">
        <x:v>ш</x:v>
      </x:c>
      <x:c r="F234" s="53" t="n">
        <x:v>1080</x:v>
      </x:c>
      <x:c r="G234" s="54" t="n">
        <x:v>8950</x:v>
      </x:c>
      <x:c r="H234" s="54" t="n">
        <x:v>9666000</x:v>
      </x:c>
      <x:c r="I234" s="54" t="n">
        <x:f>IF(AND(ISNUMBER(F234),ISNUMBER(G234)),ROUND(F234*G234,0),H234)</x:f>
        <x:v>9666000</x:v>
      </x:c>
      <x:c r="J234" s="54" t="n">
        <x:f>I234-H234</x:f>
        <x:v>0</x:v>
      </x:c>
      <x:c r="K234" s="51" t="str">
        <x:v>Материал</x:v>
      </x:c>
      <x:c r="L234" s="51" t="str">
        <x:f>IF(J234=0,"OK","Шалгах")</x:f>
        <x:v>OK</x:v>
      </x:c>
      <x:c r="M234" s="51" t="str">
        <x:v>Заслын нийт төсөв</x:v>
      </x:c>
      <x:c r="N234" s="51" t="n">
        <x:v>211</x:v>
      </x:c>
    </x:row>
    <x:row r="235">
      <x:c r="A235" s="51" t="str">
        <x:v>MAT-6R-0221</x:v>
      </x:c>
      <x:c r="B235" s="52" t="str">
        <x:v>АЦӨ-ний Лампиран металл таазны ажил</x:v>
      </x:c>
      <x:c r="C235" s="52" t="str">
        <x:v>Булан төмөр /L/-3м</x:v>
      </x:c>
      <x:c r="D235" s="52" t="str"/>
      <x:c r="E235" s="52" t="str">
        <x:v>ш</x:v>
      </x:c>
      <x:c r="F235" s="53" t="n">
        <x:v>622</x:v>
      </x:c>
      <x:c r="G235" s="54" t="n">
        <x:v>8950</x:v>
      </x:c>
      <x:c r="H235" s="54" t="n">
        <x:v>5566900</x:v>
      </x:c>
      <x:c r="I235" s="54" t="n">
        <x:f>IF(AND(ISNUMBER(F235),ISNUMBER(G235)),ROUND(F235*G235,0),H235)</x:f>
        <x:v>5566900</x:v>
      </x:c>
      <x:c r="J235" s="54" t="n">
        <x:f>I235-H235</x:f>
        <x:v>0</x:v>
      </x:c>
      <x:c r="K235" s="51" t="str">
        <x:v>Материал</x:v>
      </x:c>
      <x:c r="L235" s="51" t="str">
        <x:f>IF(J235=0,"OK","Шалгах")</x:f>
        <x:v>OK</x:v>
      </x:c>
      <x:c r="M235" s="51" t="str">
        <x:v>Заслын нийт төсөв</x:v>
      </x:c>
      <x:c r="N235" s="51" t="n">
        <x:v>212</x:v>
      </x:c>
    </x:row>
    <x:row r="236">
      <x:c r="A236" s="51" t="str">
        <x:v>MAT-6R-0222</x:v>
      </x:c>
      <x:c r="B236" s="52" t="str">
        <x:v>АЦӨ-ний Лампиран металл таазны ажил</x:v>
      </x:c>
      <x:c r="C236" s="52" t="str">
        <x:v>Гогцоо төмөр</x:v>
      </x:c>
      <x:c r="D236" s="52" t="str"/>
      <x:c r="E236" s="52" t="str">
        <x:v>ш</x:v>
      </x:c>
      <x:c r="F236" s="53" t="n">
        <x:v>972</x:v>
      </x:c>
      <x:c r="G236" s="54" t="n">
        <x:v>1100</x:v>
      </x:c>
      <x:c r="H236" s="54" t="n">
        <x:v>1069200</x:v>
      </x:c>
      <x:c r="I236" s="54" t="n">
        <x:f>IF(AND(ISNUMBER(F236),ISNUMBER(G236)),ROUND(F236*G236,0),H236)</x:f>
        <x:v>1069200</x:v>
      </x:c>
      <x:c r="J236" s="54" t="n">
        <x:f>I236-H236</x:f>
        <x:v>0</x:v>
      </x:c>
      <x:c r="K236" s="51" t="str">
        <x:v>Материал</x:v>
      </x:c>
      <x:c r="L236" s="51" t="str">
        <x:f>IF(J236=0,"OK","Шалгах")</x:f>
        <x:v>OK</x:v>
      </x:c>
      <x:c r="M236" s="51" t="str">
        <x:v>Заслын нийт төсөв</x:v>
      </x:c>
      <x:c r="N236" s="51" t="n">
        <x:v>213</x:v>
      </x:c>
    </x:row>
    <x:row r="237">
      <x:c r="A237" s="51" t="str">
        <x:v>MAT-6R-0223</x:v>
      </x:c>
      <x:c r="B237" s="52" t="str">
        <x:v>АЦӨ-ний Лампиран металл таазны ажил</x:v>
      </x:c>
      <x:c r="C237" s="52" t="str">
        <x:v>ф4.2 Шруп</x:v>
      </x:c>
      <x:c r="D237" s="52" t="str"/>
      <x:c r="E237" s="52" t="str">
        <x:v>ш</x:v>
      </x:c>
      <x:c r="F237" s="53" t="n">
        <x:v>2318</x:v>
      </x:c>
      <x:c r="G237" s="54" t="n">
        <x:v>17</x:v>
      </x:c>
      <x:c r="H237" s="54" t="n">
        <x:v>39406</x:v>
      </x:c>
      <x:c r="I237" s="54" t="n">
        <x:f>IF(AND(ISNUMBER(F237),ISNUMBER(G237)),ROUND(F237*G237,0),H237)</x:f>
        <x:v>39406</x:v>
      </x:c>
      <x:c r="J237" s="54" t="n">
        <x:f>I237-H237</x:f>
        <x:v>0</x:v>
      </x:c>
      <x:c r="K237" s="51" t="str">
        <x:v>Материал</x:v>
      </x:c>
      <x:c r="L237" s="51" t="str">
        <x:f>IF(J237=0,"OK","Шалгах")</x:f>
        <x:v>OK</x:v>
      </x:c>
      <x:c r="M237" s="51" t="str">
        <x:v>Заслын нийт төсөв</x:v>
      </x:c>
      <x:c r="N237" s="51" t="n">
        <x:v>214</x:v>
      </x:c>
    </x:row>
    <x:row r="238">
      <x:c r="A238" s="51" t="str">
        <x:v>MAT-6R-0224</x:v>
      </x:c>
      <x:c r="B238" s="52" t="str">
        <x:v>АЦӨ-ний Лампиран металл таазны ажил</x:v>
      </x:c>
      <x:c r="C238" s="52" t="str">
        <x:v>ф6 тэлэгч</x:v>
      </x:c>
      <x:c r="D238" s="52" t="str"/>
      <x:c r="E238" s="52" t="str">
        <x:v>ш</x:v>
      </x:c>
      <x:c r="F238" s="53" t="n">
        <x:v>2318</x:v>
      </x:c>
      <x:c r="G238" s="54" t="n">
        <x:v>12</x:v>
      </x:c>
      <x:c r="H238" s="54" t="n">
        <x:v>27816</x:v>
      </x:c>
      <x:c r="I238" s="54" t="n">
        <x:f>IF(AND(ISNUMBER(F238),ISNUMBER(G238)),ROUND(F238*G238,0),H238)</x:f>
        <x:v>27816</x:v>
      </x:c>
      <x:c r="J238" s="54" t="n">
        <x:f>I238-H238</x:f>
        <x:v>0</x:v>
      </x:c>
      <x:c r="K238" s="51" t="str">
        <x:v>Материал</x:v>
      </x:c>
      <x:c r="L238" s="51" t="str">
        <x:f>IF(J238=0,"OK","Шалгах")</x:f>
        <x:v>OK</x:v>
      </x:c>
      <x:c r="M238" s="51" t="str">
        <x:v>Заслын нийт төсөв</x:v>
      </x:c>
      <x:c r="N238" s="51" t="n">
        <x:v>215</x:v>
      </x:c>
    </x:row>
    <x:row r="239">
      <x:c r="A239" s="51" t="str">
        <x:v>MAT-6R-0225</x:v>
      </x:c>
      <x:c r="B239" s="52" t="str">
        <x:v>АЦӨ-ний Лампиран металл таазны ажил</x:v>
      </x:c>
      <x:c r="C239" s="52" t="str">
        <x:v>Цохидог тэлэгч</x:v>
      </x:c>
      <x:c r="D239" s="52" t="str"/>
      <x:c r="E239" s="52" t="str">
        <x:v>ш</x:v>
      </x:c>
      <x:c r="F239" s="53" t="n">
        <x:v>972</x:v>
      </x:c>
      <x:c r="G239" s="54" t="n">
        <x:v>138</x:v>
      </x:c>
      <x:c r="H239" s="54" t="n">
        <x:v>134136</x:v>
      </x:c>
      <x:c r="I239" s="54" t="n">
        <x:f>IF(AND(ISNUMBER(F239),ISNUMBER(G239)),ROUND(F239*G239,0),H239)</x:f>
        <x:v>134136</x:v>
      </x:c>
      <x:c r="J239" s="54" t="n">
        <x:f>I239-H239</x:f>
        <x:v>0</x:v>
      </x:c>
      <x:c r="K239" s="51" t="str">
        <x:v>Материал</x:v>
      </x:c>
      <x:c r="L239" s="51" t="str">
        <x:f>IF(J239=0,"OK","Шалгах")</x:f>
        <x:v>OK</x:v>
      </x:c>
      <x:c r="M239" s="51" t="str">
        <x:v>Заслын нийт төсөв</x:v>
      </x:c>
      <x:c r="N239" s="51" t="n">
        <x:v>216</x:v>
      </x:c>
    </x:row>
    <x:row r="240">
      <x:c r="A240" s="51" t="str">
        <x:v>MAT-6R-0226</x:v>
      </x:c>
      <x:c r="B240" s="52" t="str">
        <x:v>АЦӨ-ний Лампиран металл таазны ажил</x:v>
      </x:c>
      <x:c r="C240" s="52" t="str">
        <x:v>ф8 өрөм</x:v>
      </x:c>
      <x:c r="D240" s="52" t="str"/>
      <x:c r="E240" s="52" t="str">
        <x:v>ш</x:v>
      </x:c>
      <x:c r="F240" s="53" t="n">
        <x:v>52</x:v>
      </x:c>
      <x:c r="G240" s="54" t="n">
        <x:v>4400</x:v>
      </x:c>
      <x:c r="H240" s="54" t="n">
        <x:v>228800</x:v>
      </x:c>
      <x:c r="I240" s="54" t="n">
        <x:f>IF(AND(ISNUMBER(F240),ISNUMBER(G240)),ROUND(F240*G240,0),H240)</x:f>
        <x:v>228800</x:v>
      </x:c>
      <x:c r="J240" s="54" t="n">
        <x:f>I240-H240</x:f>
        <x:v>0</x:v>
      </x:c>
      <x:c r="K240" s="51" t="str">
        <x:v>Материал</x:v>
      </x:c>
      <x:c r="L240" s="51" t="str">
        <x:f>IF(J240=0,"OK","Шалгах")</x:f>
        <x:v>OK</x:v>
      </x:c>
      <x:c r="M240" s="51" t="str">
        <x:v>Заслын нийт төсөв</x:v>
      </x:c>
      <x:c r="N240" s="51" t="n">
        <x:v>217</x:v>
      </x:c>
    </x:row>
    <x:row r="241">
      <x:c r="A241" s="51" t="str">
        <x:v>MAT-6R-0227</x:v>
      </x:c>
      <x:c r="B241" s="52" t="str">
        <x:v>АЦӨ-ний Лампиран металл таазны ажил</x:v>
      </x:c>
      <x:c r="C241" s="52" t="str">
        <x:v>Тасдагч ир /ф105/</x:v>
      </x:c>
      <x:c r="D241" s="52" t="str"/>
      <x:c r="E241" s="52" t="str">
        <x:v>ш</x:v>
      </x:c>
      <x:c r="F241" s="53" t="n">
        <x:v>68</x:v>
      </x:c>
      <x:c r="G241" s="54" t="n">
        <x:v>660</x:v>
      </x:c>
      <x:c r="H241" s="54" t="n">
        <x:v>44880</x:v>
      </x:c>
      <x:c r="I241" s="54" t="n">
        <x:f>IF(AND(ISNUMBER(F241),ISNUMBER(G241)),ROUND(F241*G241,0),H241)</x:f>
        <x:v>44880</x:v>
      </x:c>
      <x:c r="J241" s="54" t="n">
        <x:f>I241-H241</x:f>
        <x:v>0</x:v>
      </x:c>
      <x:c r="K241" s="51" t="str">
        <x:v>Материал</x:v>
      </x:c>
      <x:c r="L241" s="51" t="str">
        <x:f>IF(J241=0,"OK","Шалгах")</x:f>
        <x:v>OK</x:v>
      </x:c>
      <x:c r="M241" s="51" t="str">
        <x:v>Заслын нийт төсөв</x:v>
      </x:c>
      <x:c r="N241" s="51" t="n">
        <x:v>218</x:v>
      </x:c>
    </x:row>
    <x:row r="242">
      <x:c r="A242" s="51" t="str">
        <x:v>MAT-6R-0228</x:v>
      </x:c>
      <x:c r="B242" s="52" t="str">
        <x:v>АЦӨ-ний Лампиран металл таазны ажил</x:v>
      </x:c>
      <x:c r="C242" s="52" t="str">
        <x:v>Шар цавуу</x:v>
      </x:c>
      <x:c r="D242" s="52" t="str"/>
      <x:c r="E242" s="52" t="str">
        <x:v>л</x:v>
      </x:c>
      <x:c r="F242" s="53" t="n">
        <x:v>7</x:v>
      </x:c>
      <x:c r="G242" s="54" t="n">
        <x:v>15000</x:v>
      </x:c>
      <x:c r="H242" s="54" t="n">
        <x:v>105000</x:v>
      </x:c>
      <x:c r="I242" s="54" t="n">
        <x:f>IF(AND(ISNUMBER(F242),ISNUMBER(G242)),ROUND(F242*G242,0),H242)</x:f>
        <x:v>105000</x:v>
      </x:c>
      <x:c r="J242" s="54" t="n">
        <x:f>I242-H242</x:f>
        <x:v>0</x:v>
      </x:c>
      <x:c r="K242" s="51" t="str">
        <x:v>Материал</x:v>
      </x:c>
      <x:c r="L242" s="51" t="str">
        <x:f>IF(J242=0,"OK","Шалгах")</x:f>
        <x:v>OK</x:v>
      </x:c>
      <x:c r="M242" s="51" t="str">
        <x:v>Заслын нийт төсөв</x:v>
      </x:c>
      <x:c r="N242" s="51" t="n">
        <x:v>219</x:v>
      </x:c>
    </x:row>
    <x:row r="243">
      <x:c r="A243" s="51" t="str">
        <x:v>MAT-6R-0229</x:v>
      </x:c>
      <x:c r="B243" s="52" t="str">
        <x:v>АЦӨ-ний Лампиран металл таазны ажил</x:v>
      </x:c>
      <x:c r="C243" s="52" t="str">
        <x:v>Дулаалга</x:v>
      </x:c>
      <x:c r="D243" s="52" t="str"/>
      <x:c r="E243" s="52" t="str">
        <x:v>боод</x:v>
      </x:c>
      <x:c r="F243" s="53" t="n">
        <x:v>50</x:v>
      </x:c>
      <x:c r="G243" s="54" t="n">
        <x:v>66000</x:v>
      </x:c>
      <x:c r="H243" s="54" t="n">
        <x:v>3300000</x:v>
      </x:c>
      <x:c r="I243" s="54" t="n">
        <x:f>IF(AND(ISNUMBER(F243),ISNUMBER(G243)),ROUND(F243*G243,0),H243)</x:f>
        <x:v>3300000</x:v>
      </x:c>
      <x:c r="J243" s="54" t="n">
        <x:f>I243-H243</x:f>
        <x:v>0</x:v>
      </x:c>
      <x:c r="K243" s="51" t="str">
        <x:v>Материал</x:v>
      </x:c>
      <x:c r="L243" s="51" t="str">
        <x:f>IF(J243=0,"OK","Шалгах")</x:f>
        <x:v>OK</x:v>
      </x:c>
      <x:c r="M243" s="51" t="str">
        <x:v>Заслын нийт төсөв</x:v>
      </x:c>
      <x:c r="N243" s="51" t="n">
        <x:v>220</x:v>
      </x:c>
    </x:row>
    <x:row r="244">
      <x:c r="A244" s="51" t="str">
        <x:v>MAT-6R-0230</x:v>
      </x:c>
      <x:c r="B244" s="52" t="str">
        <x:v>АЦӨ-ний Лампиран металл таазны ажил</x:v>
      </x:c>
      <x:c r="C244" s="52" t="str">
        <x:v>Багцлагч</x:v>
      </x:c>
      <x:c r="D244" s="52" t="str"/>
      <x:c r="E244" s="52" t="str">
        <x:v>ш</x:v>
      </x:c>
      <x:c r="F244" s="53" t="n">
        <x:v>6800</x:v>
      </x:c>
      <x:c r="G244" s="54" t="n">
        <x:v>143</x:v>
      </x:c>
      <x:c r="H244" s="54" t="n">
        <x:v>972400</x:v>
      </x:c>
      <x:c r="I244" s="54" t="n">
        <x:f>IF(AND(ISNUMBER(F244),ISNUMBER(G244)),ROUND(F244*G244,0),H244)</x:f>
        <x:v>972400</x:v>
      </x:c>
      <x:c r="J244" s="54" t="n">
        <x:f>I244-H244</x:f>
        <x:v>0</x:v>
      </x:c>
      <x:c r="K244" s="51" t="str">
        <x:v>Материал</x:v>
      </x:c>
      <x:c r="L244" s="51" t="str">
        <x:f>IF(J244=0,"OK","Шалгах")</x:f>
        <x:v>OK</x:v>
      </x:c>
      <x:c r="M244" s="51" t="str">
        <x:v>Заслын нийт төсөв</x:v>
      </x:c>
      <x:c r="N244" s="51" t="n">
        <x:v>221</x:v>
      </x:c>
    </x:row>
    <x:row r="245">
      <x:c r="A245" s="51" t="str">
        <x:v>MAT-6R-0231</x:v>
      </x:c>
      <x:c r="B245" s="52" t="str">
        <x:v>Лифтний ажил</x:v>
      </x:c>
      <x:c r="C245" s="52" t="str">
        <x:v>OSB хавтан /0.9см/</x:v>
      </x:c>
      <x:c r="D245" s="52" t="str"/>
      <x:c r="E245" s="52" t="str">
        <x:v>ш</x:v>
      </x:c>
      <x:c r="F245" s="53" t="n">
        <x:v>51</x:v>
      </x:c>
      <x:c r="G245" s="54" t="n">
        <x:v>40000</x:v>
      </x:c>
      <x:c r="H245" s="54" t="n">
        <x:v>2040000</x:v>
      </x:c>
      <x:c r="I245" s="54" t="n">
        <x:f>IF(AND(ISNUMBER(F245),ISNUMBER(G245)),ROUND(F245*G245,0),H245)</x:f>
        <x:v>2040000</x:v>
      </x:c>
      <x:c r="J245" s="54" t="n">
        <x:f>I245-H245</x:f>
        <x:v>0</x:v>
      </x:c>
      <x:c r="K245" s="51" t="str">
        <x:v>Материал</x:v>
      </x:c>
      <x:c r="L245" s="51" t="str">
        <x:f>IF(J245=0,"OK","Шалгах")</x:f>
        <x:v>OK</x:v>
      </x:c>
      <x:c r="M245" s="51" t="str">
        <x:v>Заслын нийт төсөв</x:v>
      </x:c>
      <x:c r="N245" s="51" t="n">
        <x:v>223</x:v>
      </x:c>
    </x:row>
    <x:row r="246">
      <x:c r="A246" s="51" t="str">
        <x:v>MAT-6R-0232</x:v>
      </x:c>
      <x:c r="B246" s="52" t="str">
        <x:v>Лифтний ажил</x:v>
      </x:c>
      <x:c r="C246" s="52" t="str">
        <x:v>Цагаан хавтан /0.9см/</x:v>
      </x:c>
      <x:c r="D246" s="52" t="str"/>
      <x:c r="E246" s="52" t="str">
        <x:v>ш</x:v>
      </x:c>
      <x:c r="F246" s="53" t="n">
        <x:v>51</x:v>
      </x:c>
      <x:c r="G246" s="54" t="n">
        <x:v>21000</x:v>
      </x:c>
      <x:c r="H246" s="54" t="n">
        <x:v>1071000</x:v>
      </x:c>
      <x:c r="I246" s="54" t="n">
        <x:f>IF(AND(ISNUMBER(F246),ISNUMBER(G246)),ROUND(F246*G246,0),H246)</x:f>
        <x:v>1071000</x:v>
      </x:c>
      <x:c r="J246" s="54" t="n">
        <x:f>I246-H246</x:f>
        <x:v>0</x:v>
      </x:c>
      <x:c r="K246" s="51" t="str">
        <x:v>Материал</x:v>
      </x:c>
      <x:c r="L246" s="51" t="str">
        <x:f>IF(J246=0,"OK","Шалгах")</x:f>
        <x:v>OK</x:v>
      </x:c>
      <x:c r="M246" s="51" t="str">
        <x:v>Заслын нийт төсөв</x:v>
      </x:c>
      <x:c r="N246" s="51" t="n">
        <x:v>224</x:v>
      </x:c>
    </x:row>
    <x:row r="247">
      <x:c r="A247" s="51" t="str">
        <x:v>MAT-6R-0233</x:v>
      </x:c>
      <x:c r="B247" s="52" t="str">
        <x:v>Лифтний ажил</x:v>
      </x:c>
      <x:c r="C247" s="52" t="str">
        <x:v>30*30 Си төмөр</x:v>
      </x:c>
      <x:c r="D247" s="52" t="str"/>
      <x:c r="E247" s="52" t="str">
        <x:v>ш</x:v>
      </x:c>
      <x:c r="F247" s="53" t="n">
        <x:v>68</x:v>
      </x:c>
      <x:c r="G247" s="54" t="n">
        <x:v>4800</x:v>
      </x:c>
      <x:c r="H247" s="54" t="n">
        <x:v>326400</x:v>
      </x:c>
      <x:c r="I247" s="54" t="n">
        <x:f>IF(AND(ISNUMBER(F247),ISNUMBER(G247)),ROUND(F247*G247,0),H247)</x:f>
        <x:v>326400</x:v>
      </x:c>
      <x:c r="J247" s="54" t="n">
        <x:f>I247-H247</x:f>
        <x:v>0</x:v>
      </x:c>
      <x:c r="K247" s="51" t="str">
        <x:v>Материал</x:v>
      </x:c>
      <x:c r="L247" s="51" t="str">
        <x:f>IF(J247=0,"OK","Шалгах")</x:f>
        <x:v>OK</x:v>
      </x:c>
      <x:c r="M247" s="51" t="str">
        <x:v>Заслын нийт төсөв</x:v>
      </x:c>
      <x:c r="N247" s="51" t="n">
        <x:v>225</x:v>
      </x:c>
    </x:row>
    <x:row r="248">
      <x:c r="A248" s="51" t="str">
        <x:v>MAT-6R-0234</x:v>
      </x:c>
      <x:c r="B248" s="52" t="str">
        <x:v>Лифтний ажил</x:v>
      </x:c>
      <x:c r="C248" s="52" t="str">
        <x:v>Төмрийн шруп</x:v>
      </x:c>
      <x:c r="D248" s="52" t="str"/>
      <x:c r="E248" s="52" t="str">
        <x:v>ш</x:v>
      </x:c>
      <x:c r="F248" s="53" t="n">
        <x:v>850</x:v>
      </x:c>
      <x:c r="G248" s="54" t="n">
        <x:v>32</x:v>
      </x:c>
      <x:c r="H248" s="54" t="n">
        <x:v>27200</x:v>
      </x:c>
      <x:c r="I248" s="54" t="n">
        <x:f>IF(AND(ISNUMBER(F248),ISNUMBER(G248)),ROUND(F248*G248,0),H248)</x:f>
        <x:v>27200</x:v>
      </x:c>
      <x:c r="J248" s="54" t="n">
        <x:f>I248-H248</x:f>
        <x:v>0</x:v>
      </x:c>
      <x:c r="K248" s="51" t="str">
        <x:v>Материал</x:v>
      </x:c>
      <x:c r="L248" s="51" t="str">
        <x:f>IF(J248=0,"OK","Шалгах")</x:f>
        <x:v>OK</x:v>
      </x:c>
      <x:c r="M248" s="51" t="str">
        <x:v>Заслын нийт төсөв</x:v>
      </x:c>
      <x:c r="N248" s="51" t="n">
        <x:v>226</x:v>
      </x:c>
    </x:row>
    <x:row r="249">
      <x:c r="A249" s="51" t="str">
        <x:v>MAT-6R-0235</x:v>
      </x:c>
      <x:c r="B249" s="52" t="str">
        <x:v>Лифтний ажил</x:v>
      </x:c>
      <x:c r="C249" s="52" t="str">
        <x:v>ф1.6 шруп</x:v>
      </x:c>
      <x:c r="D249" s="52" t="str"/>
      <x:c r="E249" s="52" t="str">
        <x:v>ш</x:v>
      </x:c>
      <x:c r="F249" s="53" t="n">
        <x:v>1700</x:v>
      </x:c>
      <x:c r="G249" s="54" t="n">
        <x:v>32</x:v>
      </x:c>
      <x:c r="H249" s="54" t="n">
        <x:v>54400</x:v>
      </x:c>
      <x:c r="I249" s="54" t="n">
        <x:f>IF(AND(ISNUMBER(F249),ISNUMBER(G249)),ROUND(F249*G249,0),H249)</x:f>
        <x:v>54400</x:v>
      </x:c>
      <x:c r="J249" s="54" t="n">
        <x:f>I249-H249</x:f>
        <x:v>0</x:v>
      </x:c>
      <x:c r="K249" s="51" t="str">
        <x:v>Материал</x:v>
      </x:c>
      <x:c r="L249" s="51" t="str">
        <x:f>IF(J249=0,"OK","Шалгах")</x:f>
        <x:v>OK</x:v>
      </x:c>
      <x:c r="M249" s="51" t="str">
        <x:v>Заслын нийт төсөв</x:v>
      </x:c>
      <x:c r="N249" s="51" t="n">
        <x:v>227</x:v>
      </x:c>
    </x:row>
    <x:row r="250">
      <x:c r="A250" s="51" t="str">
        <x:v>MAT-6R-0236</x:v>
      </x:c>
      <x:c r="B250" s="52" t="str">
        <x:v>Лифтний ажил</x:v>
      </x:c>
      <x:c r="C250" s="52" t="str">
        <x:v>ф3.2 шруп</x:v>
      </x:c>
      <x:c r="D250" s="52" t="str"/>
      <x:c r="E250" s="52" t="str">
        <x:v>ш</x:v>
      </x:c>
      <x:c r="F250" s="53" t="n">
        <x:v>2040</x:v>
      </x:c>
      <x:c r="G250" s="54" t="n">
        <x:v>32</x:v>
      </x:c>
      <x:c r="H250" s="54" t="n">
        <x:v>65280</x:v>
      </x:c>
      <x:c r="I250" s="54" t="n">
        <x:f>IF(AND(ISNUMBER(F250),ISNUMBER(G250)),ROUND(F250*G250,0),H250)</x:f>
        <x:v>65280</x:v>
      </x:c>
      <x:c r="J250" s="54" t="n">
        <x:f>I250-H250</x:f>
        <x:v>0</x:v>
      </x:c>
      <x:c r="K250" s="51" t="str">
        <x:v>Материал</x:v>
      </x:c>
      <x:c r="L250" s="51" t="str">
        <x:f>IF(J250=0,"OK","Шалгах")</x:f>
        <x:v>OK</x:v>
      </x:c>
      <x:c r="M250" s="51" t="str">
        <x:v>Заслын нийт төсөв</x:v>
      </x:c>
      <x:c r="N250" s="51" t="n">
        <x:v>228</x:v>
      </x:c>
    </x:row>
    <x:row r="251">
      <x:c r="A251" s="51" t="str">
        <x:v>MAT-6R-0237</x:v>
      </x:c>
      <x:c r="B251" s="52" t="str">
        <x:v>Лифтний ажил</x:v>
      </x:c>
      <x:c r="C251" s="52" t="str">
        <x:v>ф6 өрөм</x:v>
      </x:c>
      <x:c r="D251" s="52" t="str"/>
      <x:c r="E251" s="52" t="str">
        <x:v>ш</x:v>
      </x:c>
      <x:c r="F251" s="53" t="n">
        <x:v>17</x:v>
      </x:c>
      <x:c r="G251" s="54" t="n">
        <x:v>3850</x:v>
      </x:c>
      <x:c r="H251" s="54" t="n">
        <x:v>65450</x:v>
      </x:c>
      <x:c r="I251" s="54" t="n">
        <x:f>IF(AND(ISNUMBER(F251),ISNUMBER(G251)),ROUND(F251*G251,0),H251)</x:f>
        <x:v>65450</x:v>
      </x:c>
      <x:c r="J251" s="54" t="n">
        <x:f>I251-H251</x:f>
        <x:v>0</x:v>
      </x:c>
      <x:c r="K251" s="51" t="str">
        <x:v>Материал</x:v>
      </x:c>
      <x:c r="L251" s="51" t="str">
        <x:f>IF(J251=0,"OK","Шалгах")</x:f>
        <x:v>OK</x:v>
      </x:c>
      <x:c r="M251" s="51" t="str">
        <x:v>Заслын нийт төсөв</x:v>
      </x:c>
      <x:c r="N251" s="51" t="n">
        <x:v>229</x:v>
      </x:c>
    </x:row>
    <x:row r="252">
      <x:c r="A252" s="51" t="str">
        <x:v>MAT-6R-0238</x:v>
      </x:c>
      <x:c r="B252" s="52" t="str">
        <x:v>Лифтний ажил</x:v>
      </x:c>
      <x:c r="C252" s="52" t="str">
        <x:v>Цохидог тэлэгч</x:v>
      </x:c>
      <x:c r="D252" s="52" t="str"/>
      <x:c r="E252" s="52" t="str">
        <x:v>ш</x:v>
      </x:c>
      <x:c r="F252" s="53" t="n">
        <x:v>850</x:v>
      </x:c>
      <x:c r="G252" s="54" t="n">
        <x:v>138</x:v>
      </x:c>
      <x:c r="H252" s="54" t="n">
        <x:v>117300</x:v>
      </x:c>
      <x:c r="I252" s="54" t="n">
        <x:f>IF(AND(ISNUMBER(F252),ISNUMBER(G252)),ROUND(F252*G252,0),H252)</x:f>
        <x:v>117300</x:v>
      </x:c>
      <x:c r="J252" s="54" t="n">
        <x:f>I252-H252</x:f>
        <x:v>0</x:v>
      </x:c>
      <x:c r="K252" s="51" t="str">
        <x:v>Материал</x:v>
      </x:c>
      <x:c r="L252" s="51" t="str">
        <x:f>IF(J252=0,"OK","Шалгах")</x:f>
        <x:v>OK</x:v>
      </x:c>
      <x:c r="M252" s="51" t="str">
        <x:v>Заслын нийт төсөв</x:v>
      </x:c>
      <x:c r="N252" s="51" t="n">
        <x:v>230</x:v>
      </x:c>
    </x:row>
    <x:row r="253">
      <x:c r="A253" s="51" t="str">
        <x:v>MAT-6R-0239</x:v>
      </x:c>
      <x:c r="B253" s="52" t="str">
        <x:v>Лифтний ажил</x:v>
      </x:c>
      <x:c r="C253" s="52" t="str">
        <x:v>Модны ир 180-тай</x:v>
      </x:c>
      <x:c r="D253" s="52" t="str"/>
      <x:c r="E253" s="52" t="str">
        <x:v>ш</x:v>
      </x:c>
      <x:c r="F253" s="53" t="n">
        <x:v>5</x:v>
      </x:c>
      <x:c r="G253" s="54" t="n">
        <x:v>11000</x:v>
      </x:c>
      <x:c r="H253" s="54" t="n">
        <x:v>55000</x:v>
      </x:c>
      <x:c r="I253" s="54" t="n">
        <x:f>IF(AND(ISNUMBER(F253),ISNUMBER(G253)),ROUND(F253*G253,0),H253)</x:f>
        <x:v>55000</x:v>
      </x:c>
      <x:c r="J253" s="54" t="n">
        <x:f>I253-H253</x:f>
        <x:v>0</x:v>
      </x:c>
      <x:c r="K253" s="51" t="str">
        <x:v>Материал</x:v>
      </x:c>
      <x:c r="L253" s="51" t="str">
        <x:f>IF(J253=0,"OK","Шалгах")</x:f>
        <x:v>OK</x:v>
      </x:c>
      <x:c r="M253" s="51" t="str">
        <x:v>Заслын нийт төсөв</x:v>
      </x:c>
      <x:c r="N253" s="51" t="n">
        <x:v>231</x:v>
      </x:c>
    </x:row>
    <x:row r="254">
      <x:c r="A254" s="51" t="str">
        <x:v>MAT-6R-0240</x:v>
      </x:c>
      <x:c r="B254" s="52" t="str">
        <x:v>Лифтний ажил</x:v>
      </x:c>
      <x:c r="C254" s="52" t="str">
        <x:v>3*3 брус</x:v>
      </x:c>
      <x:c r="D254" s="52" t="str"/>
      <x:c r="E254" s="52" t="str">
        <x:v>м</x:v>
      </x:c>
      <x:c r="F254" s="53" t="n">
        <x:v>170</x:v>
      </x:c>
      <x:c r="G254" s="54" t="n">
        <x:v>6050</x:v>
      </x:c>
      <x:c r="H254" s="54" t="n">
        <x:v>1028500</x:v>
      </x:c>
      <x:c r="I254" s="54" t="n">
        <x:f>IF(AND(ISNUMBER(F254),ISNUMBER(G254)),ROUND(F254*G254,0),H254)</x:f>
        <x:v>1028500</x:v>
      </x:c>
      <x:c r="J254" s="54" t="n">
        <x:f>I254-H254</x:f>
        <x:v>0</x:v>
      </x:c>
      <x:c r="K254" s="51" t="str">
        <x:v>Материал</x:v>
      </x:c>
      <x:c r="L254" s="51" t="str">
        <x:f>IF(J254=0,"OK","Шалгах")</x:f>
        <x:v>OK</x:v>
      </x:c>
      <x:c r="M254" s="51" t="str">
        <x:v>Заслын нийт төсөв</x:v>
      </x:c>
      <x:c r="N254" s="51" t="n">
        <x:v>232</x:v>
      </x:c>
    </x:row>
    <x:row r="255">
      <x:c r="A255" s="51" t="str">
        <x:v>MAT-6R-0241</x:v>
      </x:c>
      <x:c r="B255" s="52" t="str">
        <x:v>Лифтний ажил</x:v>
      </x:c>
      <x:c r="C255" s="52" t="str">
        <x:v>Лифт /ком/</x:v>
      </x:c>
      <x:c r="D255" s="52" t="str"/>
      <x:c r="E255" s="52" t="str">
        <x:v>ш</x:v>
      </x:c>
      <x:c r="F255" s="53" t="n">
        <x:v>1</x:v>
      </x:c>
      <x:c r="G255" s="54" t="n">
        <x:v>154423500</x:v>
      </x:c>
      <x:c r="H255" s="54" t="n">
        <x:v>154423500</x:v>
      </x:c>
      <x:c r="I255" s="54" t="n">
        <x:f>IF(AND(ISNUMBER(F255),ISNUMBER(G255)),ROUND(F255*G255,0),H255)</x:f>
        <x:v>154423500</x:v>
      </x:c>
      <x:c r="J255" s="54" t="n">
        <x:f>I255-H255</x:f>
        <x:v>0</x:v>
      </x:c>
      <x:c r="K255" s="51" t="str">
        <x:v>Материал</x:v>
      </x:c>
      <x:c r="L255" s="51" t="str">
        <x:f>IF(J255=0,"OK","Шалгах")</x:f>
        <x:v>OK</x:v>
      </x:c>
      <x:c r="M255" s="51" t="str">
        <x:v>Заслын нийт төсөв</x:v>
      </x:c>
      <x:c r="N255" s="51" t="n">
        <x:v>233</x:v>
      </x:c>
    </x:row>
    <x:row r="256">
      <x:c r="A256" s="51" t="str">
        <x:v>MAT-6R-0242</x:v>
      </x:c>
      <x:c r="B256" s="52" t="str">
        <x:v>Гоёлын силикон</x:v>
      </x:c>
      <x:c r="C256" s="52" t="str">
        <x:v>Силикон</x:v>
      </x:c>
      <x:c r="D256" s="52" t="str"/>
      <x:c r="E256" s="52" t="str">
        <x:v>ш</x:v>
      </x:c>
      <x:c r="F256" s="53" t="n">
        <x:v>412</x:v>
      </x:c>
      <x:c r="G256" s="54" t="n">
        <x:v>9000</x:v>
      </x:c>
      <x:c r="H256" s="54" t="n">
        <x:v>3708000</x:v>
      </x:c>
      <x:c r="I256" s="54" t="n">
        <x:f>IF(AND(ISNUMBER(F256),ISNUMBER(G256)),ROUND(F256*G256,0),H256)</x:f>
        <x:v>3708000</x:v>
      </x:c>
      <x:c r="J256" s="54" t="n">
        <x:f>I256-H256</x:f>
        <x:v>0</x:v>
      </x:c>
      <x:c r="K256" s="51" t="str">
        <x:v>Материал</x:v>
      </x:c>
      <x:c r="L256" s="51" t="str">
        <x:f>IF(J256=0,"OK","Шалгах")</x:f>
        <x:v>OK</x:v>
      </x:c>
      <x:c r="M256" s="51" t="str">
        <x:v>Заслын нийт төсөв</x:v>
      </x:c>
      <x:c r="N256" s="51" t="n">
        <x:v>235</x:v>
      </x:c>
    </x:row>
    <x:row r="257">
      <x:c r="A257" s="51" t="str">
        <x:v>MAT-6R-0243</x:v>
      </x:c>
      <x:c r="B257" s="52" t="str">
        <x:v>Гоёлын силикон</x:v>
      </x:c>
      <x:c r="C257" s="52" t="str">
        <x:v>Решотик</x:v>
      </x:c>
      <x:c r="D257" s="52" t="str"/>
      <x:c r="E257" s="52" t="str">
        <x:v>ш</x:v>
      </x:c>
      <x:c r="F257" s="53" t="n">
        <x:v>250</x:v>
      </x:c>
      <x:c r="G257" s="54" t="n">
        <x:v>3300</x:v>
      </x:c>
      <x:c r="H257" s="54" t="n">
        <x:v>825000</x:v>
      </x:c>
      <x:c r="I257" s="54" t="n">
        <x:f>IF(AND(ISNUMBER(F257),ISNUMBER(G257)),ROUND(F257*G257,0),H257)</x:f>
        <x:v>825000</x:v>
      </x:c>
      <x:c r="J257" s="54" t="n">
        <x:f>I257-H257</x:f>
        <x:v>0</x:v>
      </x:c>
      <x:c r="K257" s="51" t="str">
        <x:v>Материал</x:v>
      </x:c>
      <x:c r="L257" s="51" t="str">
        <x:f>IF(J257=0,"OK","Шалгах")</x:f>
        <x:v>OK</x:v>
      </x:c>
      <x:c r="M257" s="51" t="str">
        <x:v>Заслын нийт төсөв</x:v>
      </x:c>
      <x:c r="N257" s="51" t="n">
        <x:v>236</x:v>
      </x:c>
    </x:row>
    <x:row r="258">
      <x:c r="A258" s="51" t="str">
        <x:v>MAT-6R-0244</x:v>
      </x:c>
      <x:c r="B258" s="52" t="str">
        <x:v>Гоёлын силикон</x:v>
      </x:c>
      <x:c r="C258" s="52" t="str">
        <x:v>Цаасан наалт</x:v>
      </x:c>
      <x:c r="D258" s="52" t="str"/>
      <x:c r="E258" s="52" t="str">
        <x:v>ш</x:v>
      </x:c>
      <x:c r="F258" s="53" t="n">
        <x:v>25</x:v>
      </x:c>
      <x:c r="G258" s="54" t="n">
        <x:v>4400</x:v>
      </x:c>
      <x:c r="H258" s="54" t="n">
        <x:v>110000</x:v>
      </x:c>
      <x:c r="I258" s="54" t="n">
        <x:f>IF(AND(ISNUMBER(F258),ISNUMBER(G258)),ROUND(F258*G258,0),H258)</x:f>
        <x:v>110000</x:v>
      </x:c>
      <x:c r="J258" s="54" t="n">
        <x:f>I258-H258</x:f>
        <x:v>0</x:v>
      </x:c>
      <x:c r="K258" s="51" t="str">
        <x:v>Материал</x:v>
      </x:c>
      <x:c r="L258" s="51" t="str">
        <x:f>IF(J258=0,"OK","Шалгах")</x:f>
        <x:v>OK</x:v>
      </x:c>
      <x:c r="M258" s="51" t="str">
        <x:v>Заслын нийт төсөв</x:v>
      </x:c>
      <x:c r="N258" s="51" t="n">
        <x:v>237</x:v>
      </x:c>
    </x:row>
    <x:row r="259">
      <x:c r="A259" s="51" t="str">
        <x:v>MAT-6R-0245</x:v>
      </x:c>
      <x:c r="B259" s="52" t="str">
        <x:v>Паркетан шалны ажил</x:v>
      </x:c>
      <x:c r="C259" s="52" t="str">
        <x:v>Паркет</x:v>
      </x:c>
      <x:c r="D259" s="52" t="str"/>
      <x:c r="E259" s="52" t="str">
        <x:v>м2</x:v>
      </x:c>
      <x:c r="F259" s="53" t="n">
        <x:v>6864</x:v>
      </x:c>
      <x:c r="G259" s="54" t="n">
        <x:v>29900</x:v>
      </x:c>
      <x:c r="H259" s="54" t="n">
        <x:v>205233600</x:v>
      </x:c>
      <x:c r="I259" s="54" t="n">
        <x:f>IF(AND(ISNUMBER(F259),ISNUMBER(G259)),ROUND(F259*G259,0),H259)</x:f>
        <x:v>205233600</x:v>
      </x:c>
      <x:c r="J259" s="54" t="n">
        <x:f>I259-H259</x:f>
        <x:v>0</x:v>
      </x:c>
      <x:c r="K259" s="51" t="str">
        <x:v>Материал</x:v>
      </x:c>
      <x:c r="L259" s="51" t="str">
        <x:f>IF(J259=0,"OK","Шалгах")</x:f>
        <x:v>OK</x:v>
      </x:c>
      <x:c r="M259" s="51" t="str">
        <x:v>Заслын нийт төсөв</x:v>
      </x:c>
      <x:c r="N259" s="51" t="n">
        <x:v>239</x:v>
      </x:c>
    </x:row>
    <x:row r="260">
      <x:c r="A260" s="51" t="str">
        <x:v>MAT-6R-0246</x:v>
      </x:c>
      <x:c r="B260" s="52" t="str">
        <x:v>Паркетан шалны ажил</x:v>
      </x:c>
      <x:c r="C260" s="52" t="str">
        <x:v>Зөөлөвч</x:v>
      </x:c>
      <x:c r="D260" s="52" t="str"/>
      <x:c r="E260" s="52" t="str">
        <x:v>м2</x:v>
      </x:c>
      <x:c r="F260" s="53" t="n">
        <x:v>6580</x:v>
      </x:c>
      <x:c r="G260" s="54" t="n">
        <x:v>2500</x:v>
      </x:c>
      <x:c r="H260" s="54" t="n">
        <x:v>16450000</x:v>
      </x:c>
      <x:c r="I260" s="54" t="n">
        <x:f>IF(AND(ISNUMBER(F260),ISNUMBER(G260)),ROUND(F260*G260,0),H260)</x:f>
        <x:v>16450000</x:v>
      </x:c>
      <x:c r="J260" s="54" t="n">
        <x:f>I260-H260</x:f>
        <x:v>0</x:v>
      </x:c>
      <x:c r="K260" s="51" t="str">
        <x:v>Материал</x:v>
      </x:c>
      <x:c r="L260" s="51" t="str">
        <x:f>IF(J260=0,"OK","Шалгах")</x:f>
        <x:v>OK</x:v>
      </x:c>
      <x:c r="M260" s="51" t="str">
        <x:v>Заслын нийт төсөв</x:v>
      </x:c>
      <x:c r="N260" s="51" t="n">
        <x:v>240</x:v>
      </x:c>
    </x:row>
    <x:row r="261">
      <x:c r="A261" s="51" t="str">
        <x:v>MAT-6R-0247</x:v>
      </x:c>
      <x:c r="B261" s="52" t="str">
        <x:v>Паркетан шалны ажил</x:v>
      </x:c>
      <x:c r="C261" s="52" t="str">
        <x:v>Ам дарагч-1м /үүд/</x:v>
      </x:c>
      <x:c r="D261" s="52" t="str"/>
      <x:c r="E261" s="52" t="str">
        <x:v>ш</x:v>
      </x:c>
      <x:c r="F261" s="53" t="n">
        <x:v>132</x:v>
      </x:c>
      <x:c r="G261" s="54" t="n">
        <x:v>7700</x:v>
      </x:c>
      <x:c r="H261" s="54" t="n">
        <x:v>1016400</x:v>
      </x:c>
      <x:c r="I261" s="54" t="n">
        <x:f>IF(AND(ISNUMBER(F261),ISNUMBER(G261)),ROUND(F261*G261,0),H261)</x:f>
        <x:v>1016400</x:v>
      </x:c>
      <x:c r="J261" s="54" t="n">
        <x:f>I261-H261</x:f>
        <x:v>0</x:v>
      </x:c>
      <x:c r="K261" s="51" t="str">
        <x:v>Материал</x:v>
      </x:c>
      <x:c r="L261" s="51" t="str">
        <x:f>IF(J261=0,"OK","Шалгах")</x:f>
        <x:v>OK</x:v>
      </x:c>
      <x:c r="M261" s="51" t="str">
        <x:v>Заслын нийт төсөв</x:v>
      </x:c>
      <x:c r="N261" s="51" t="n">
        <x:v>241</x:v>
      </x:c>
    </x:row>
    <x:row r="262">
      <x:c r="A262" s="51" t="str">
        <x:v>MAT-6R-0248</x:v>
      </x:c>
      <x:c r="B262" s="52" t="str">
        <x:v>Паркетан шалны ажил</x:v>
      </x:c>
      <x:c r="C262" s="52" t="str">
        <x:v>Самуурай хөрөө ир</x:v>
      </x:c>
      <x:c r="D262" s="52" t="str"/>
      <x:c r="E262" s="52" t="str">
        <x:v>ш</x:v>
      </x:c>
      <x:c r="F262" s="53" t="n">
        <x:v>66</x:v>
      </x:c>
      <x:c r="G262" s="54" t="n">
        <x:v>11000</x:v>
      </x:c>
      <x:c r="H262" s="54" t="n">
        <x:v>726000</x:v>
      </x:c>
      <x:c r="I262" s="54" t="n">
        <x:f>IF(AND(ISNUMBER(F262),ISNUMBER(G262)),ROUND(F262*G262,0),H262)</x:f>
        <x:v>726000</x:v>
      </x:c>
      <x:c r="J262" s="54" t="n">
        <x:f>I262-H262</x:f>
        <x:v>0</x:v>
      </x:c>
      <x:c r="K262" s="51" t="str">
        <x:v>Материал</x:v>
      </x:c>
      <x:c r="L262" s="51" t="str">
        <x:f>IF(J262=0,"OK","Шалгах")</x:f>
        <x:v>OK</x:v>
      </x:c>
      <x:c r="M262" s="51" t="str">
        <x:v>Заслын нийт төсөв</x:v>
      </x:c>
      <x:c r="N262" s="51" t="n">
        <x:v>242</x:v>
      </x:c>
    </x:row>
    <x:row r="263">
      <x:c r="A263" s="51" t="str">
        <x:v>MAT-6R-0249</x:v>
      </x:c>
      <x:c r="B263" s="52" t="str">
        <x:v>Паркетан шалны ажил</x:v>
      </x:c>
      <x:c r="C263" s="52" t="str">
        <x:v>Уран хөрөө ир</x:v>
      </x:c>
      <x:c r="D263" s="52" t="str"/>
      <x:c r="E263" s="52" t="str">
        <x:v>ш</x:v>
      </x:c>
      <x:c r="F263" s="53" t="n">
        <x:v>165</x:v>
      </x:c>
      <x:c r="G263" s="54" t="n">
        <x:v>5500</x:v>
      </x:c>
      <x:c r="H263" s="54" t="n">
        <x:v>907500</x:v>
      </x:c>
      <x:c r="I263" s="54" t="n">
        <x:f>IF(AND(ISNUMBER(F263),ISNUMBER(G263)),ROUND(F263*G263,0),H263)</x:f>
        <x:v>907500</x:v>
      </x:c>
      <x:c r="J263" s="54" t="n">
        <x:f>I263-H263</x:f>
        <x:v>0</x:v>
      </x:c>
      <x:c r="K263" s="51" t="str">
        <x:v>Материал</x:v>
      </x:c>
      <x:c r="L263" s="51" t="str">
        <x:f>IF(J263=0,"OK","Шалгах")</x:f>
        <x:v>OK</x:v>
      </x:c>
      <x:c r="M263" s="51" t="str">
        <x:v>Заслын нийт төсөв</x:v>
      </x:c>
      <x:c r="N263" s="51" t="n">
        <x:v>243</x:v>
      </x:c>
    </x:row>
    <x:row r="264">
      <x:c r="A264" s="51" t="str">
        <x:v>MAT-6R-0250</x:v>
      </x:c>
      <x:c r="B264" s="52" t="str">
        <x:v>Паркетан шалны ажил</x:v>
      </x:c>
      <x:c r="C264" s="52" t="str">
        <x:v>Бэлэнтүс</x:v>
      </x:c>
      <x:c r="D264" s="52" t="str"/>
      <x:c r="E264" s="52" t="str">
        <x:v>ум</x:v>
      </x:c>
      <x:c r="F264" s="53" t="n">
        <x:v>7336</x:v>
      </x:c>
      <x:c r="G264" s="54" t="n">
        <x:v>6115</x:v>
      </x:c>
      <x:c r="H264" s="54" t="n">
        <x:v>44859640</x:v>
      </x:c>
      <x:c r="I264" s="54" t="n">
        <x:f>IF(AND(ISNUMBER(F264),ISNUMBER(G264)),ROUND(F264*G264,0),H264)</x:f>
        <x:v>44859640</x:v>
      </x:c>
      <x:c r="J264" s="54" t="n">
        <x:f>I264-H264</x:f>
        <x:v>0</x:v>
      </x:c>
      <x:c r="K264" s="51" t="str">
        <x:v>Материал</x:v>
      </x:c>
      <x:c r="L264" s="51" t="str">
        <x:f>IF(J264=0,"OK","Шалгах")</x:f>
        <x:v>OK</x:v>
      </x:c>
      <x:c r="M264" s="51" t="str">
        <x:v>Заслын нийт төсөв</x:v>
      </x:c>
      <x:c r="N264" s="51" t="n">
        <x:v>244</x:v>
      </x:c>
    </x:row>
    <x:row r="265">
      <x:c r="A265" s="51" t="str">
        <x:v>MAT-6R-0251</x:v>
      </x:c>
      <x:c r="B265" s="52" t="str">
        <x:v>Паркетан шалны ажил</x:v>
      </x:c>
      <x:c r="C265" s="52" t="str">
        <x:v>Эхлэл, төгсгөл /хос/</x:v>
      </x:c>
      <x:c r="D265" s="52" t="str"/>
      <x:c r="E265" s="52" t="str">
        <x:v>ш</x:v>
      </x:c>
      <x:c r="F265" s="53" t="n">
        <x:v>612</x:v>
      </x:c>
      <x:c r="G265" s="54" t="n">
        <x:v>500</x:v>
      </x:c>
      <x:c r="H265" s="54" t="n">
        <x:v>306000</x:v>
      </x:c>
      <x:c r="I265" s="54" t="n">
        <x:f>IF(AND(ISNUMBER(F265),ISNUMBER(G265)),ROUND(F265*G265,0),H265)</x:f>
        <x:v>306000</x:v>
      </x:c>
      <x:c r="J265" s="54" t="n">
        <x:f>I265-H265</x:f>
        <x:v>0</x:v>
      </x:c>
      <x:c r="K265" s="51" t="str">
        <x:v>Материал</x:v>
      </x:c>
      <x:c r="L265" s="51" t="str">
        <x:f>IF(J265=0,"OK","Шалгах")</x:f>
        <x:v>OK</x:v>
      </x:c>
      <x:c r="M265" s="51" t="str">
        <x:v>Заслын нийт төсөв</x:v>
      </x:c>
      <x:c r="N265" s="51" t="n">
        <x:v>245</x:v>
      </x:c>
    </x:row>
    <x:row r="266">
      <x:c r="A266" s="51" t="str">
        <x:v>MAT-6R-0252</x:v>
      </x:c>
      <x:c r="B266" s="52" t="str">
        <x:v>Паркетан шалны ажил</x:v>
      </x:c>
      <x:c r="C266" s="52" t="str">
        <x:v>Залгаа</x:v>
      </x:c>
      <x:c r="D266" s="52" t="str"/>
      <x:c r="E266" s="52" t="str">
        <x:v>ш</x:v>
      </x:c>
      <x:c r="F266" s="53" t="n">
        <x:v>2559</x:v>
      </x:c>
      <x:c r="G266" s="54" t="n">
        <x:v>500</x:v>
      </x:c>
      <x:c r="H266" s="54" t="n">
        <x:v>1279500</x:v>
      </x:c>
      <x:c r="I266" s="54" t="n">
        <x:f>IF(AND(ISNUMBER(F266),ISNUMBER(G266)),ROUND(F266*G266,0),H266)</x:f>
        <x:v>1279500</x:v>
      </x:c>
      <x:c r="J266" s="54" t="n">
        <x:f>I266-H266</x:f>
        <x:v>0</x:v>
      </x:c>
      <x:c r="K266" s="51" t="str">
        <x:v>Материал</x:v>
      </x:c>
      <x:c r="L266" s="51" t="str">
        <x:f>IF(J266=0,"OK","Шалгах")</x:f>
        <x:v>OK</x:v>
      </x:c>
      <x:c r="M266" s="51" t="str">
        <x:v>Заслын нийт төсөв</x:v>
      </x:c>
      <x:c r="N266" s="51" t="n">
        <x:v>246</x:v>
      </x:c>
    </x:row>
    <x:row r="267">
      <x:c r="A267" s="51" t="str">
        <x:v>MAT-6R-0253</x:v>
      </x:c>
      <x:c r="B267" s="52" t="str">
        <x:v>Паркетан шалны ажил</x:v>
      </x:c>
      <x:c r="C267" s="52" t="str">
        <x:v>Дотор булан</x:v>
      </x:c>
      <x:c r="D267" s="52" t="str"/>
      <x:c r="E267" s="52" t="str">
        <x:v>ш</x:v>
      </x:c>
      <x:c r="F267" s="53" t="n">
        <x:v>2573</x:v>
      </x:c>
      <x:c r="G267" s="54" t="n">
        <x:v>1500</x:v>
      </x:c>
      <x:c r="H267" s="54" t="n">
        <x:v>3859500</x:v>
      </x:c>
      <x:c r="I267" s="54" t="n">
        <x:f>IF(AND(ISNUMBER(F267),ISNUMBER(G267)),ROUND(F267*G267,0),H267)</x:f>
        <x:v>3859500</x:v>
      </x:c>
      <x:c r="J267" s="54" t="n">
        <x:f>I267-H267</x:f>
        <x:v>0</x:v>
      </x:c>
      <x:c r="K267" s="51" t="str">
        <x:v>Материал</x:v>
      </x:c>
      <x:c r="L267" s="51" t="str">
        <x:f>IF(J267=0,"OK","Шалгах")</x:f>
        <x:v>OK</x:v>
      </x:c>
      <x:c r="M267" s="51" t="str">
        <x:v>Заслын нийт төсөв</x:v>
      </x:c>
      <x:c r="N267" s="51" t="n">
        <x:v>247</x:v>
      </x:c>
    </x:row>
    <x:row r="268">
      <x:c r="A268" s="51" t="str">
        <x:v>MAT-6R-0254</x:v>
      </x:c>
      <x:c r="B268" s="52" t="str">
        <x:v>Паркетан шалны ажил</x:v>
      </x:c>
      <x:c r="C268" s="52" t="str">
        <x:v>Гадна булан</x:v>
      </x:c>
      <x:c r="D268" s="52" t="str"/>
      <x:c r="E268" s="52" t="str">
        <x:v>ш</x:v>
      </x:c>
      <x:c r="F268" s="53" t="n">
        <x:v>1452</x:v>
      </x:c>
      <x:c r="G268" s="54" t="n">
        <x:v>1500</x:v>
      </x:c>
      <x:c r="H268" s="54" t="n">
        <x:v>2178000</x:v>
      </x:c>
      <x:c r="I268" s="54" t="n">
        <x:f>IF(AND(ISNUMBER(F268),ISNUMBER(G268)),ROUND(F268*G268,0),H268)</x:f>
        <x:v>2178000</x:v>
      </x:c>
      <x:c r="J268" s="54" t="n">
        <x:f>I268-H268</x:f>
        <x:v>0</x:v>
      </x:c>
      <x:c r="K268" s="51" t="str">
        <x:v>Материал</x:v>
      </x:c>
      <x:c r="L268" s="51" t="str">
        <x:f>IF(J268=0,"OK","Шалгах")</x:f>
        <x:v>OK</x:v>
      </x:c>
      <x:c r="M268" s="51" t="str">
        <x:v>Заслын нийт төсөв</x:v>
      </x:c>
      <x:c r="N268" s="51" t="n">
        <x:v>248</x:v>
      </x:c>
    </x:row>
    <x:row r="269">
      <x:c r="A269" s="51" t="str">
        <x:v>MAT-6R-0255</x:v>
      </x:c>
      <x:c r="B269" s="52" t="str">
        <x:v>Паркетан шалны ажил</x:v>
      </x:c>
      <x:c r="C269" s="52" t="str">
        <x:v>Шруп-3.2той</x:v>
      </x:c>
      <x:c r="D269" s="52" t="str"/>
      <x:c r="E269" s="52" t="str">
        <x:v>ш</x:v>
      </x:c>
      <x:c r="F269" s="53" t="n">
        <x:v>10150</x:v>
      </x:c>
      <x:c r="G269" s="54" t="n">
        <x:v>22</x:v>
      </x:c>
      <x:c r="H269" s="54" t="n">
        <x:v>223300</x:v>
      </x:c>
      <x:c r="I269" s="54" t="n">
        <x:f>IF(AND(ISNUMBER(F269),ISNUMBER(G269)),ROUND(F269*G269,0),H269)</x:f>
        <x:v>223300</x:v>
      </x:c>
      <x:c r="J269" s="54" t="n">
        <x:f>I269-H269</x:f>
        <x:v>0</x:v>
      </x:c>
      <x:c r="K269" s="51" t="str">
        <x:v>Материал</x:v>
      </x:c>
      <x:c r="L269" s="51" t="str">
        <x:f>IF(J269=0,"OK","Шалгах")</x:f>
        <x:v>OK</x:v>
      </x:c>
      <x:c r="M269" s="51" t="str">
        <x:v>Заслын нийт төсөв</x:v>
      </x:c>
      <x:c r="N269" s="51" t="n">
        <x:v>249</x:v>
      </x:c>
    </x:row>
    <x:row r="270">
      <x:c r="A270" s="51" t="str">
        <x:v>MAT-6R-0256</x:v>
      </x:c>
      <x:c r="B270" s="52" t="str">
        <x:v>Паркетан шалны ажил</x:v>
      </x:c>
      <x:c r="C270" s="52" t="str">
        <x:v>Тэлэгч-6-той</x:v>
      </x:c>
      <x:c r="D270" s="52" t="str"/>
      <x:c r="E270" s="52" t="str">
        <x:v>ш</x:v>
      </x:c>
      <x:c r="F270" s="53" t="n">
        <x:v>13220</x:v>
      </x:c>
      <x:c r="G270" s="54" t="n">
        <x:v>12</x:v>
      </x:c>
      <x:c r="H270" s="54" t="n">
        <x:v>158640</x:v>
      </x:c>
      <x:c r="I270" s="54" t="n">
        <x:f>IF(AND(ISNUMBER(F270),ISNUMBER(G270)),ROUND(F270*G270,0),H270)</x:f>
        <x:v>158640</x:v>
      </x:c>
      <x:c r="J270" s="54" t="n">
        <x:f>I270-H270</x:f>
        <x:v>0</x:v>
      </x:c>
      <x:c r="K270" s="51" t="str">
        <x:v>Материал</x:v>
      </x:c>
      <x:c r="L270" s="51" t="str">
        <x:f>IF(J270=0,"OK","Шалгах")</x:f>
        <x:v>OK</x:v>
      </x:c>
      <x:c r="M270" s="51" t="str">
        <x:v>Заслын нийт төсөв</x:v>
      </x:c>
      <x:c r="N270" s="51" t="n">
        <x:v>250</x:v>
      </x:c>
    </x:row>
    <x:row r="271">
      <x:c r="A271" s="51" t="str">
        <x:v>MAT-6R-0257</x:v>
      </x:c>
      <x:c r="B271" s="52" t="str">
        <x:v>Паркетан шалны ажил</x:v>
      </x:c>
      <x:c r="C271" s="52" t="str">
        <x:v>Силикон</x:v>
      </x:c>
      <x:c r="D271" s="52" t="str"/>
      <x:c r="E271" s="52" t="str">
        <x:v>ш</x:v>
      </x:c>
      <x:c r="F271" s="53" t="n">
        <x:v>50</x:v>
      </x:c>
      <x:c r="G271" s="54" t="n">
        <x:v>5500</x:v>
      </x:c>
      <x:c r="H271" s="54" t="n">
        <x:v>275000</x:v>
      </x:c>
      <x:c r="I271" s="54" t="n">
        <x:f>IF(AND(ISNUMBER(F271),ISNUMBER(G271)),ROUND(F271*G271,0),H271)</x:f>
        <x:v>275000</x:v>
      </x:c>
      <x:c r="J271" s="54" t="n">
        <x:f>I271-H271</x:f>
        <x:v>0</x:v>
      </x:c>
      <x:c r="K271" s="51" t="str">
        <x:v>Материал</x:v>
      </x:c>
      <x:c r="L271" s="51" t="str">
        <x:f>IF(J271=0,"OK","Шалгах")</x:f>
        <x:v>OK</x:v>
      </x:c>
      <x:c r="M271" s="51" t="str">
        <x:v>Заслын нийт төсөв</x:v>
      </x:c>
      <x:c r="N271" s="51" t="n">
        <x:v>251</x:v>
      </x:c>
    </x:row>
    <x:row r="272">
      <x:c r="A272" s="51" t="str">
        <x:v>MAT-6R-0258</x:v>
      </x:c>
      <x:c r="B272" s="52" t="str">
        <x:v>Балконы доторлогоо</x:v>
      </x:c>
      <x:c r="C272" s="52" t="str">
        <x:v>Рек хавтан</x:v>
      </x:c>
      <x:c r="D272" s="52" t="str"/>
      <x:c r="E272" s="52" t="str">
        <x:v>м2</x:v>
      </x:c>
      <x:c r="F272" s="53" t="n">
        <x:v>670</x:v>
      </x:c>
      <x:c r="G272" s="54" t="n">
        <x:v>17000</x:v>
      </x:c>
      <x:c r="H272" s="54" t="n">
        <x:v>11390000</x:v>
      </x:c>
      <x:c r="I272" s="54" t="n">
        <x:f>IF(AND(ISNUMBER(F272),ISNUMBER(G272)),ROUND(F272*G272,0),H272)</x:f>
        <x:v>11390000</x:v>
      </x:c>
      <x:c r="J272" s="54" t="n">
        <x:f>I272-H272</x:f>
        <x:v>0</x:v>
      </x:c>
      <x:c r="K272" s="51" t="str">
        <x:v>Материал</x:v>
      </x:c>
      <x:c r="L272" s="51" t="str">
        <x:f>IF(J272=0,"OK","Шалгах")</x:f>
        <x:v>OK</x:v>
      </x:c>
      <x:c r="M272" s="51" t="str">
        <x:v>Заслын нийт төсөв</x:v>
      </x:c>
      <x:c r="N272" s="51" t="n">
        <x:v>253</x:v>
      </x:c>
    </x:row>
    <x:row r="273">
      <x:c r="A273" s="51" t="str">
        <x:v>MAT-6R-0259</x:v>
      </x:c>
      <x:c r="B273" s="52" t="str">
        <x:v>Балконы доторлогоо</x:v>
      </x:c>
      <x:c r="C273" s="52" t="str">
        <x:v>Гадна 'Г' булан</x:v>
      </x:c>
      <x:c r="D273" s="52" t="str"/>
      <x:c r="E273" s="52" t="str">
        <x:v>м</x:v>
      </x:c>
      <x:c r="F273" s="53" t="n">
        <x:v>980</x:v>
      </x:c>
      <x:c r="G273" s="54" t="n">
        <x:v>2750</x:v>
      </x:c>
      <x:c r="H273" s="54" t="n">
        <x:v>2695000</x:v>
      </x:c>
      <x:c r="I273" s="54" t="n">
        <x:f>IF(AND(ISNUMBER(F273),ISNUMBER(G273)),ROUND(F273*G273,0),H273)</x:f>
        <x:v>2695000</x:v>
      </x:c>
      <x:c r="J273" s="54" t="n">
        <x:f>I273-H273</x:f>
        <x:v>0</x:v>
      </x:c>
      <x:c r="K273" s="51" t="str">
        <x:v>Материал</x:v>
      </x:c>
      <x:c r="L273" s="51" t="str">
        <x:f>IF(J273=0,"OK","Шалгах")</x:f>
        <x:v>OK</x:v>
      </x:c>
      <x:c r="M273" s="51" t="str">
        <x:v>Заслын нийт төсөв</x:v>
      </x:c>
      <x:c r="N273" s="51" t="n">
        <x:v>254</x:v>
      </x:c>
    </x:row>
    <x:row r="274">
      <x:c r="A274" s="51" t="str">
        <x:v>MAT-6R-0260</x:v>
      </x:c>
      <x:c r="B274" s="52" t="str">
        <x:v>Балконы доторлогоо</x:v>
      </x:c>
      <x:c r="C274" s="52" t="str">
        <x:v>Дотор булан</x:v>
      </x:c>
      <x:c r="D274" s="52" t="str"/>
      <x:c r="E274" s="52" t="str">
        <x:v>м</x:v>
      </x:c>
      <x:c r="F274" s="53" t="n">
        <x:v>700</x:v>
      </x:c>
      <x:c r="G274" s="54" t="n">
        <x:v>2750</x:v>
      </x:c>
      <x:c r="H274" s="54" t="n">
        <x:v>1925000</x:v>
      </x:c>
      <x:c r="I274" s="54" t="n">
        <x:f>IF(AND(ISNUMBER(F274),ISNUMBER(G274)),ROUND(F274*G274,0),H274)</x:f>
        <x:v>1925000</x:v>
      </x:c>
      <x:c r="J274" s="54" t="n">
        <x:f>I274-H274</x:f>
        <x:v>0</x:v>
      </x:c>
      <x:c r="K274" s="51" t="str">
        <x:v>Материал</x:v>
      </x:c>
      <x:c r="L274" s="51" t="str">
        <x:f>IF(J274=0,"OK","Шалгах")</x:f>
        <x:v>OK</x:v>
      </x:c>
      <x:c r="M274" s="51" t="str">
        <x:v>Заслын нийт төсөв</x:v>
      </x:c>
      <x:c r="N274" s="51" t="n">
        <x:v>255</x:v>
      </x:c>
    </x:row>
    <x:row r="275">
      <x:c r="A275" s="51" t="str">
        <x:v>MAT-6R-0261</x:v>
      </x:c>
      <x:c r="B275" s="52" t="str">
        <x:v>Балконы доторлогоо</x:v>
      </x:c>
      <x:c r="C275" s="52" t="str">
        <x:v>Брүс 3х3см</x:v>
      </x:c>
      <x:c r="D275" s="52" t="str"/>
      <x:c r="E275" s="52" t="str">
        <x:v>м</x:v>
      </x:c>
      <x:c r="F275" s="53" t="n">
        <x:v>3300</x:v>
      </x:c>
      <x:c r="G275" s="54" t="n">
        <x:v>1375</x:v>
      </x:c>
      <x:c r="H275" s="54" t="n">
        <x:v>4537500</x:v>
      </x:c>
      <x:c r="I275" s="54" t="n">
        <x:f>IF(AND(ISNUMBER(F275),ISNUMBER(G275)),ROUND(F275*G275,0),H275)</x:f>
        <x:v>4537500</x:v>
      </x:c>
      <x:c r="J275" s="54" t="n">
        <x:f>I275-H275</x:f>
        <x:v>0</x:v>
      </x:c>
      <x:c r="K275" s="51" t="str">
        <x:v>Материал</x:v>
      </x:c>
      <x:c r="L275" s="51" t="str">
        <x:f>IF(J275=0,"OK","Шалгах")</x:f>
        <x:v>OK</x:v>
      </x:c>
      <x:c r="M275" s="51" t="str">
        <x:v>Заслын нийт төсөв</x:v>
      </x:c>
      <x:c r="N275" s="51" t="n">
        <x:v>256</x:v>
      </x:c>
    </x:row>
    <x:row r="276">
      <x:c r="A276" s="51" t="str">
        <x:v>MAT-6R-0262</x:v>
      </x:c>
      <x:c r="B276" s="52" t="str">
        <x:v>Балконы доторлогоо</x:v>
      </x:c>
      <x:c r="C276" s="52" t="str">
        <x:v>Буудагч сум /50тай/</x:v>
      </x:c>
      <x:c r="D276" s="52" t="str"/>
      <x:c r="E276" s="52" t="str">
        <x:v>хайр</x:v>
      </x:c>
      <x:c r="F276" s="53" t="n">
        <x:v>120</x:v>
      </x:c>
      <x:c r="G276" s="54" t="n">
        <x:v>5500</x:v>
      </x:c>
      <x:c r="H276" s="54" t="n">
        <x:v>660000</x:v>
      </x:c>
      <x:c r="I276" s="54" t="n">
        <x:f>IF(AND(ISNUMBER(F276),ISNUMBER(G276)),ROUND(F276*G276,0),H276)</x:f>
        <x:v>660000</x:v>
      </x:c>
      <x:c r="J276" s="54" t="n">
        <x:f>I276-H276</x:f>
        <x:v>0</x:v>
      </x:c>
      <x:c r="K276" s="51" t="str">
        <x:v>Материал</x:v>
      </x:c>
      <x:c r="L276" s="51" t="str">
        <x:f>IF(J276=0,"OK","Шалгах")</x:f>
        <x:v>OK</x:v>
      </x:c>
      <x:c r="M276" s="51" t="str">
        <x:v>Заслын нийт төсөв</x:v>
      </x:c>
      <x:c r="N276" s="51" t="n">
        <x:v>257</x:v>
      </x:c>
    </x:row>
    <x:row r="277">
      <x:c r="A277" s="51" t="str">
        <x:v>MAT-6R-0263</x:v>
      </x:c>
      <x:c r="B277" s="52" t="str">
        <x:v>Балконы доторлогоо</x:v>
      </x:c>
      <x:c r="C277" s="52" t="str">
        <x:v>Буудагч сум /30тай/</x:v>
      </x:c>
      <x:c r="D277" s="52" t="str"/>
      <x:c r="E277" s="52" t="str">
        <x:v>хайр</x:v>
      </x:c>
      <x:c r="F277" s="53" t="n">
        <x:v>120</x:v>
      </x:c>
      <x:c r="G277" s="54" t="n">
        <x:v>4950</x:v>
      </x:c>
      <x:c r="H277" s="54" t="n">
        <x:v>594000</x:v>
      </x:c>
      <x:c r="I277" s="54" t="n">
        <x:f>IF(AND(ISNUMBER(F277),ISNUMBER(G277)),ROUND(F277*G277,0),H277)</x:f>
        <x:v>594000</x:v>
      </x:c>
      <x:c r="J277" s="54" t="n">
        <x:f>I277-H277</x:f>
        <x:v>0</x:v>
      </x:c>
      <x:c r="K277" s="51" t="str">
        <x:v>Материал</x:v>
      </x:c>
      <x:c r="L277" s="51" t="str">
        <x:f>IF(J277=0,"OK","Шалгах")</x:f>
        <x:v>OK</x:v>
      </x:c>
      <x:c r="M277" s="51" t="str">
        <x:v>Заслын нийт төсөв</x:v>
      </x:c>
      <x:c r="N277" s="51" t="n">
        <x:v>258</x:v>
      </x:c>
    </x:row>
    <x:row r="278">
      <x:c r="A278" s="51" t="str">
        <x:v>MAT-6R-0264</x:v>
      </x:c>
      <x:c r="B278" s="52" t="str">
        <x:v>Балконы доторлогоо</x:v>
      </x:c>
      <x:c r="C278" s="52" t="str">
        <x:v>Шар силикон</x:v>
      </x:c>
      <x:c r="D278" s="52" t="str"/>
      <x:c r="E278" s="52" t="str">
        <x:v>ш</x:v>
      </x:c>
      <x:c r="F278" s="53" t="n">
        <x:v>80</x:v>
      </x:c>
      <x:c r="G278" s="54" t="n">
        <x:v>5500</x:v>
      </x:c>
      <x:c r="H278" s="54" t="n">
        <x:v>440000</x:v>
      </x:c>
      <x:c r="I278" s="54" t="n">
        <x:f>IF(AND(ISNUMBER(F278),ISNUMBER(G278)),ROUND(F278*G278,0),H278)</x:f>
        <x:v>440000</x:v>
      </x:c>
      <x:c r="J278" s="54" t="n">
        <x:f>I278-H278</x:f>
        <x:v>0</x:v>
      </x:c>
      <x:c r="K278" s="51" t="str">
        <x:v>Материал</x:v>
      </x:c>
      <x:c r="L278" s="51" t="str">
        <x:f>IF(J278=0,"OK","Шалгах")</x:f>
        <x:v>OK</x:v>
      </x:c>
      <x:c r="M278" s="51" t="str">
        <x:v>Заслын нийт төсөв</x:v>
      </x:c>
      <x:c r="N278" s="51" t="n">
        <x:v>259</x:v>
      </x:c>
    </x:row>
    <x:row r="279">
      <x:c r="A279" s="51" t="str">
        <x:v>MAT-6R-0265</x:v>
      </x:c>
      <x:c r="B279" s="52" t="str">
        <x:v>Гараашийн засал</x:v>
      </x:c>
      <x:c r="C279" s="52" t="str">
        <x:v>Хөөс /10см/</x:v>
      </x:c>
      <x:c r="D279" s="52" t="str"/>
      <x:c r="E279" s="52" t="str">
        <x:v>м3</x:v>
      </x:c>
      <x:c r="F279" s="53" t="n">
        <x:v>50</x:v>
      </x:c>
      <x:c r="G279" s="54" t="n">
        <x:v>22000</x:v>
      </x:c>
      <x:c r="H279" s="54" t="n">
        <x:v>1100000</x:v>
      </x:c>
      <x:c r="I279" s="54" t="n">
        <x:f>IF(AND(ISNUMBER(F279),ISNUMBER(G279)),ROUND(F279*G279,0),H279)</x:f>
        <x:v>1100000</x:v>
      </x:c>
      <x:c r="J279" s="54" t="n">
        <x:f>I279-H279</x:f>
        <x:v>0</x:v>
      </x:c>
      <x:c r="K279" s="51" t="str">
        <x:v>Материал</x:v>
      </x:c>
      <x:c r="L279" s="51" t="str">
        <x:f>IF(J279=0,"OK","Шалгах")</x:f>
        <x:v>OK</x:v>
      </x:c>
      <x:c r="M279" s="51" t="str">
        <x:v>Заслын нийт төсөв</x:v>
      </x:c>
      <x:c r="N279" s="51" t="n">
        <x:v>261</x:v>
      </x:c>
    </x:row>
    <x:row r="280">
      <x:c r="A280" s="51" t="str">
        <x:v>MAT-6R-0266</x:v>
      </x:c>
      <x:c r="B280" s="52" t="str">
        <x:v>Гараашийн засал</x:v>
      </x:c>
      <x:c r="C280" s="52" t="str">
        <x:v>Хадаас, тав/16-20см/</x:v>
      </x:c>
      <x:c r="D280" s="52" t="str"/>
      <x:c r="E280" s="52" t="str">
        <x:v>ш</x:v>
      </x:c>
      <x:c r="F280" s="53" t="n">
        <x:v>2500</x:v>
      </x:c>
      <x:c r="G280" s="54" t="n">
        <x:v>330</x:v>
      </x:c>
      <x:c r="H280" s="54" t="n">
        <x:v>825000</x:v>
      </x:c>
      <x:c r="I280" s="54" t="n">
        <x:f>IF(AND(ISNUMBER(F280),ISNUMBER(G280)),ROUND(F280*G280,0),H280)</x:f>
        <x:v>825000</x:v>
      </x:c>
      <x:c r="J280" s="54" t="n">
        <x:f>I280-H280</x:f>
        <x:v>0</x:v>
      </x:c>
      <x:c r="K280" s="51" t="str">
        <x:v>Материал</x:v>
      </x:c>
      <x:c r="L280" s="51" t="str">
        <x:f>IF(J280=0,"OK","Шалгах")</x:f>
        <x:v>OK</x:v>
      </x:c>
      <x:c r="M280" s="51" t="str">
        <x:v>Заслын нийт төсөв</x:v>
      </x:c>
      <x:c r="N280" s="51" t="n">
        <x:v>262</x:v>
      </x:c>
    </x:row>
    <x:row r="281">
      <x:c r="A281" s="51" t="str">
        <x:v>MAT-6R-0267</x:v>
      </x:c>
      <x:c r="B281" s="52" t="str">
        <x:v>Гараашийн засал</x:v>
      </x:c>
      <x:c r="C281" s="52" t="str">
        <x:v>Фасадны тор</x:v>
      </x:c>
      <x:c r="D281" s="52" t="str"/>
      <x:c r="E281" s="52" t="str">
        <x:v>м2</x:v>
      </x:c>
      <x:c r="F281" s="53" t="n">
        <x:v>520</x:v>
      </x:c>
      <x:c r="G281" s="54" t="n">
        <x:v>550</x:v>
      </x:c>
      <x:c r="H281" s="54" t="n">
        <x:v>286000</x:v>
      </x:c>
      <x:c r="I281" s="54" t="n">
        <x:f>IF(AND(ISNUMBER(F281),ISNUMBER(G281)),ROUND(F281*G281,0),H281)</x:f>
        <x:v>286000</x:v>
      </x:c>
      <x:c r="J281" s="54" t="n">
        <x:f>I281-H281</x:f>
        <x:v>0</x:v>
      </x:c>
      <x:c r="K281" s="51" t="str">
        <x:v>Материал</x:v>
      </x:c>
      <x:c r="L281" s="51" t="str">
        <x:f>IF(J281=0,"OK","Шалгах")</x:f>
        <x:v>OK</x:v>
      </x:c>
      <x:c r="M281" s="51" t="str">
        <x:v>Заслын нийт төсөв</x:v>
      </x:c>
      <x:c r="N281" s="51" t="n">
        <x:v>263</x:v>
      </x:c>
    </x:row>
    <x:row r="282">
      <x:c r="A282" s="51" t="str">
        <x:v>MAT-6R-0268</x:v>
      </x:c>
      <x:c r="B282" s="52" t="str">
        <x:v>Гараашийн засал</x:v>
      </x:c>
      <x:c r="C282" s="52" t="str">
        <x:v>Хар шавар</x:v>
      </x:c>
      <x:c r="D282" s="52" t="str"/>
      <x:c r="E282" s="52" t="str">
        <x:v>кг</x:v>
      </x:c>
      <x:c r="F282" s="53" t="n">
        <x:v>3000</x:v>
      </x:c>
      <x:c r="G282" s="54" t="n">
        <x:v>572</x:v>
      </x:c>
      <x:c r="H282" s="54" t="n">
        <x:v>1716000</x:v>
      </x:c>
      <x:c r="I282" s="54" t="n">
        <x:f>IF(AND(ISNUMBER(F282),ISNUMBER(G282)),ROUND(F282*G282,0),H282)</x:f>
        <x:v>1716000</x:v>
      </x:c>
      <x:c r="J282" s="54" t="n">
        <x:f>I282-H282</x:f>
        <x:v>0</x:v>
      </x:c>
      <x:c r="K282" s="51" t="str">
        <x:v>Материал</x:v>
      </x:c>
      <x:c r="L282" s="51" t="str">
        <x:f>IF(J282=0,"OK","Шалгах")</x:f>
        <x:v>OK</x:v>
      </x:c>
      <x:c r="M282" s="51" t="str">
        <x:v>Заслын нийт төсөв</x:v>
      </x:c>
      <x:c r="N282" s="51" t="n">
        <x:v>264</x:v>
      </x:c>
    </x:row>
    <x:row r="283">
      <x:c r="A283" s="51" t="str">
        <x:v>MAT-6R-0269</x:v>
      </x:c>
      <x:c r="B283" s="52" t="str">
        <x:v>Гараашийн засал</x:v>
      </x:c>
      <x:c r="C283" s="52" t="str">
        <x:v>Фасад булан тор</x:v>
      </x:c>
      <x:c r="D283" s="52" t="str"/>
      <x:c r="E283" s="52" t="str">
        <x:v>м</x:v>
      </x:c>
      <x:c r="F283" s="53" t="n">
        <x:v>100</x:v>
      </x:c>
      <x:c r="G283" s="54" t="n">
        <x:v>2750</x:v>
      </x:c>
      <x:c r="H283" s="54" t="n">
        <x:v>275000</x:v>
      </x:c>
      <x:c r="I283" s="54" t="n">
        <x:f>IF(AND(ISNUMBER(F283),ISNUMBER(G283)),ROUND(F283*G283,0),H283)</x:f>
        <x:v>275000</x:v>
      </x:c>
      <x:c r="J283" s="54" t="n">
        <x:f>I283-H283</x:f>
        <x:v>0</x:v>
      </x:c>
      <x:c r="K283" s="51" t="str">
        <x:v>Материал</x:v>
      </x:c>
      <x:c r="L283" s="51" t="str">
        <x:f>IF(J283=0,"OK","Шалгах")</x:f>
        <x:v>OK</x:v>
      </x:c>
      <x:c r="M283" s="51" t="str">
        <x:v>Заслын нийт төсөв</x:v>
      </x:c>
      <x:c r="N283" s="51" t="n">
        <x:v>265</x:v>
      </x:c>
    </x:row>
    <x:row r="284">
      <x:c r="A284" s="51" t="str">
        <x:v>MAT-6R-0270</x:v>
      </x:c>
      <x:c r="B284" s="52" t="str">
        <x:v>Гараашийн засал</x:v>
      </x:c>
      <x:c r="C284" s="52" t="str">
        <x:v>Грунт</x:v>
      </x:c>
      <x:c r="D284" s="52" t="str"/>
      <x:c r="E284" s="52" t="str">
        <x:v>л</x:v>
      </x:c>
      <x:c r="F284" s="53" t="n">
        <x:v>20</x:v>
      </x:c>
      <x:c r="G284" s="54" t="n">
        <x:v>8800</x:v>
      </x:c>
      <x:c r="H284" s="54" t="n">
        <x:v>176000</x:v>
      </x:c>
      <x:c r="I284" s="54" t="n">
        <x:f>IF(AND(ISNUMBER(F284),ISNUMBER(G284)),ROUND(F284*G284,0),H284)</x:f>
        <x:v>176000</x:v>
      </x:c>
      <x:c r="J284" s="54" t="n">
        <x:f>I284-H284</x:f>
        <x:v>0</x:v>
      </x:c>
      <x:c r="K284" s="51" t="str">
        <x:v>Материал</x:v>
      </x:c>
      <x:c r="L284" s="51" t="str">
        <x:f>IF(J284=0,"OK","Шалгах")</x:f>
        <x:v>OK</x:v>
      </x:c>
      <x:c r="M284" s="51" t="str">
        <x:v>Заслын нийт төсөв</x:v>
      </x:c>
      <x:c r="N284" s="51" t="n">
        <x:v>266</x:v>
      </x:c>
    </x:row>
    <x:row r="285">
      <x:c r="A285" s="51" t="str">
        <x:v>MAT-6R-0271</x:v>
      </x:c>
      <x:c r="B285" s="52" t="str">
        <x:v>Гараашийн засал</x:v>
      </x:c>
      <x:c r="C285" s="52" t="str">
        <x:v>Бактур</x:v>
      </x:c>
      <x:c r="D285" s="52" t="str"/>
      <x:c r="E285" s="52" t="str">
        <x:v>кг</x:v>
      </x:c>
      <x:c r="F285" s="53" t="n">
        <x:v>430</x:v>
      </x:c>
      <x:c r="G285" s="54" t="n">
        <x:v>1672</x:v>
      </x:c>
      <x:c r="H285" s="54" t="n">
        <x:v>718960</x:v>
      </x:c>
      <x:c r="I285" s="54" t="n">
        <x:f>IF(AND(ISNUMBER(F285),ISNUMBER(G285)),ROUND(F285*G285,0),H285)</x:f>
        <x:v>718960</x:v>
      </x:c>
      <x:c r="J285" s="54" t="n">
        <x:f>I285-H285</x:f>
        <x:v>0</x:v>
      </x:c>
      <x:c r="K285" s="51" t="str">
        <x:v>Материал</x:v>
      </x:c>
      <x:c r="L285" s="51" t="str">
        <x:f>IF(J285=0,"OK","Шалгах")</x:f>
        <x:v>OK</x:v>
      </x:c>
      <x:c r="M285" s="51" t="str">
        <x:v>Заслын нийт төсөв</x:v>
      </x:c>
      <x:c r="N285" s="51" t="n">
        <x:v>267</x:v>
      </x:c>
    </x:row>
    <x:row r="286">
      <x:c r="A286" s="51" t="str">
        <x:v>MAT-6R-0272</x:v>
      </x:c>
      <x:c r="B286" s="52" t="str">
        <x:v>Гараашийн засал</x:v>
      </x:c>
      <x:c r="C286" s="52" t="str">
        <x:v>Эмульс тааз 8100</x:v>
      </x:c>
      <x:c r="D286" s="52" t="str"/>
      <x:c r="E286" s="52" t="str">
        <x:v>л</x:v>
      </x:c>
      <x:c r="F286" s="53" t="n">
        <x:v>185</x:v>
      </x:c>
      <x:c r="G286" s="54" t="n">
        <x:v>10156</x:v>
      </x:c>
      <x:c r="H286" s="54" t="n">
        <x:v>1878860</x:v>
      </x:c>
      <x:c r="I286" s="54" t="n">
        <x:f>IF(AND(ISNUMBER(F286),ISNUMBER(G286)),ROUND(F286*G286,0),H286)</x:f>
        <x:v>1878860</x:v>
      </x:c>
      <x:c r="J286" s="54" t="n">
        <x:f>I286-H286</x:f>
        <x:v>0</x:v>
      </x:c>
      <x:c r="K286" s="51" t="str">
        <x:v>Материал</x:v>
      </x:c>
      <x:c r="L286" s="51" t="str">
        <x:f>IF(J286=0,"OK","Шалгах")</x:f>
        <x:v>OK</x:v>
      </x:c>
      <x:c r="M286" s="51" t="str">
        <x:v>Заслын нийт төсөв</x:v>
      </x:c>
      <x:c r="N286" s="51" t="n">
        <x:v>268</x:v>
      </x:c>
    </x:row>
    <x:row r="287">
      <x:c r="A287" s="51" t="str">
        <x:v>MAT-6R-0273</x:v>
      </x:c>
      <x:c r="B287" s="52" t="str">
        <x:v>Гараашийн засал</x:v>
      </x:c>
      <x:c r="C287" s="52" t="str">
        <x:v>Хар шавар</x:v>
      </x:c>
      <x:c r="D287" s="52" t="str"/>
      <x:c r="E287" s="52" t="str">
        <x:v>кг</x:v>
      </x:c>
      <x:c r="F287" s="53" t="n">
        <x:v>6400</x:v>
      </x:c>
      <x:c r="G287" s="54" t="n">
        <x:v>572</x:v>
      </x:c>
      <x:c r="H287" s="54" t="n">
        <x:v>3660800</x:v>
      </x:c>
      <x:c r="I287" s="54" t="n">
        <x:f>IF(AND(ISNUMBER(F287),ISNUMBER(G287)),ROUND(F287*G287,0),H287)</x:f>
        <x:v>3660800</x:v>
      </x:c>
      <x:c r="J287" s="54" t="n">
        <x:f>I287-H287</x:f>
        <x:v>0</x:v>
      </x:c>
      <x:c r="K287" s="51" t="str">
        <x:v>Материал</x:v>
      </x:c>
      <x:c r="L287" s="51" t="str">
        <x:f>IF(J287=0,"OK","Шалгах")</x:f>
        <x:v>OK</x:v>
      </x:c>
      <x:c r="M287" s="51" t="str">
        <x:v>Заслын нийт төсөв</x:v>
      </x:c>
      <x:c r="N287" s="51" t="n">
        <x:v>269</x:v>
      </x:c>
    </x:row>
    <x:row r="288">
      <x:c r="A288" s="51" t="str">
        <x:v>MAT-6R-0274</x:v>
      </x:c>
      <x:c r="B288" s="52" t="str">
        <x:v>Гараашийн засал</x:v>
      </x:c>
      <x:c r="C288" s="52" t="str">
        <x:v>Фасадны тор нийт S-н 20%</x:v>
      </x:c>
      <x:c r="D288" s="52" t="str"/>
      <x:c r="E288" s="52" t="str">
        <x:v>м2</x:v>
      </x:c>
      <x:c r="F288" s="53" t="n">
        <x:v>220</x:v>
      </x:c>
      <x:c r="G288" s="54" t="n">
        <x:v>550</x:v>
      </x:c>
      <x:c r="H288" s="54" t="n">
        <x:v>121000</x:v>
      </x:c>
      <x:c r="I288" s="54" t="n">
        <x:f>IF(AND(ISNUMBER(F288),ISNUMBER(G288)),ROUND(F288*G288,0),H288)</x:f>
        <x:v>121000</x:v>
      </x:c>
      <x:c r="J288" s="54" t="n">
        <x:f>I288-H288</x:f>
        <x:v>0</x:v>
      </x:c>
      <x:c r="K288" s="51" t="str">
        <x:v>Материал</x:v>
      </x:c>
      <x:c r="L288" s="51" t="str">
        <x:f>IF(J288=0,"OK","Шалгах")</x:f>
        <x:v>OK</x:v>
      </x:c>
      <x:c r="M288" s="51" t="str">
        <x:v>Заслын нийт төсөв</x:v>
      </x:c>
      <x:c r="N288" s="51" t="n">
        <x:v>270</x:v>
      </x:c>
    </x:row>
    <x:row r="289">
      <x:c r="A289" s="51" t="str">
        <x:v>MAT-6R-0275</x:v>
      </x:c>
      <x:c r="B289" s="52" t="str">
        <x:v>Гараашийн засал</x:v>
      </x:c>
      <x:c r="C289" s="52" t="str">
        <x:v>Фасад булан тор</x:v>
      </x:c>
      <x:c r="D289" s="52" t="str"/>
      <x:c r="E289" s="52" t="str">
        <x:v>м</x:v>
      </x:c>
      <x:c r="F289" s="53" t="n">
        <x:v>170</x:v>
      </x:c>
      <x:c r="G289" s="54" t="n">
        <x:v>2750</x:v>
      </x:c>
      <x:c r="H289" s="54" t="n">
        <x:v>467500</x:v>
      </x:c>
      <x:c r="I289" s="54" t="n">
        <x:f>IF(AND(ISNUMBER(F289),ISNUMBER(G289)),ROUND(F289*G289,0),H289)</x:f>
        <x:v>467500</x:v>
      </x:c>
      <x:c r="J289" s="54" t="n">
        <x:f>I289-H289</x:f>
        <x:v>0</x:v>
      </x:c>
      <x:c r="K289" s="51" t="str">
        <x:v>Материал</x:v>
      </x:c>
      <x:c r="L289" s="51" t="str">
        <x:f>IF(J289=0,"OK","Шалгах")</x:f>
        <x:v>OK</x:v>
      </x:c>
      <x:c r="M289" s="51" t="str">
        <x:v>Заслын нийт төсөв</x:v>
      </x:c>
      <x:c r="N289" s="51" t="n">
        <x:v>271</x:v>
      </x:c>
    </x:row>
    <x:row r="290">
      <x:c r="A290" s="51" t="str">
        <x:v>MAT-6R-0276</x:v>
      </x:c>
      <x:c r="B290" s="52" t="str">
        <x:v>Гараашийн засал</x:v>
      </x:c>
      <x:c r="C290" s="52" t="str">
        <x:v>Грунт /чулуугүй/</x:v>
      </x:c>
      <x:c r="D290" s="52" t="str"/>
      <x:c r="E290" s="52" t="str">
        <x:v>л</x:v>
      </x:c>
      <x:c r="F290" s="53" t="n">
        <x:v>45</x:v>
      </x:c>
      <x:c r="G290" s="54" t="n">
        <x:v>8800</x:v>
      </x:c>
      <x:c r="H290" s="54" t="n">
        <x:v>396000</x:v>
      </x:c>
      <x:c r="I290" s="54" t="n">
        <x:f>IF(AND(ISNUMBER(F290),ISNUMBER(G290)),ROUND(F290*G290,0),H290)</x:f>
        <x:v>396000</x:v>
      </x:c>
      <x:c r="J290" s="54" t="n">
        <x:f>I290-H290</x:f>
        <x:v>0</x:v>
      </x:c>
      <x:c r="K290" s="51" t="str">
        <x:v>Материал</x:v>
      </x:c>
      <x:c r="L290" s="51" t="str">
        <x:f>IF(J290=0,"OK","Шалгах")</x:f>
        <x:v>OK</x:v>
      </x:c>
      <x:c r="M290" s="51" t="str">
        <x:v>Заслын нийт төсөв</x:v>
      </x:c>
      <x:c r="N290" s="51" t="n">
        <x:v>272</x:v>
      </x:c>
    </x:row>
    <x:row r="291">
      <x:c r="A291" s="51" t="str">
        <x:v>MAT-6R-0277</x:v>
      </x:c>
      <x:c r="B291" s="52" t="str">
        <x:v>Гараашийн засал</x:v>
      </x:c>
      <x:c r="C291" s="52" t="str">
        <x:v>Бактур</x:v>
      </x:c>
      <x:c r="D291" s="52" t="str"/>
      <x:c r="E291" s="52" t="str">
        <x:v>кг</x:v>
      </x:c>
      <x:c r="F291" s="53" t="n">
        <x:v>890</x:v>
      </x:c>
      <x:c r="G291" s="54" t="n">
        <x:v>1672</x:v>
      </x:c>
      <x:c r="H291" s="54" t="n">
        <x:v>1488080</x:v>
      </x:c>
      <x:c r="I291" s="54" t="n">
        <x:f>IF(AND(ISNUMBER(F291),ISNUMBER(G291)),ROUND(F291*G291,0),H291)</x:f>
        <x:v>1488080</x:v>
      </x:c>
      <x:c r="J291" s="54" t="n">
        <x:f>I291-H291</x:f>
        <x:v>0</x:v>
      </x:c>
      <x:c r="K291" s="51" t="str">
        <x:v>Материал</x:v>
      </x:c>
      <x:c r="L291" s="51" t="str">
        <x:f>IF(J291=0,"OK","Шалгах")</x:f>
        <x:v>OK</x:v>
      </x:c>
      <x:c r="M291" s="51" t="str">
        <x:v>Заслын нийт төсөв</x:v>
      </x:c>
      <x:c r="N291" s="51" t="n">
        <x:v>273</x:v>
      </x:c>
    </x:row>
    <x:row r="292">
      <x:c r="A292" s="51" t="str">
        <x:v>MAT-6R-0278</x:v>
      </x:c>
      <x:c r="B292" s="52" t="str">
        <x:v>Гараашийн засал</x:v>
      </x:c>
      <x:c r="C292" s="52" t="str">
        <x:v>Хана эмульс S</x:v>
      </x:c>
      <x:c r="D292" s="52" t="str"/>
      <x:c r="E292" s="52" t="str">
        <x:v>м2</x:v>
      </x:c>
      <x:c r="F292" s="53" t="n">
        <x:v>1040</x:v>
      </x:c>
      <x:c r="G292" s="54" t="n">
        <x:v>13445</x:v>
      </x:c>
      <x:c r="H292" s="54" t="n">
        <x:v>13982800</x:v>
      </x:c>
      <x:c r="I292" s="54" t="n">
        <x:f>IF(AND(ISNUMBER(F292),ISNUMBER(G292)),ROUND(F292*G292,0),H292)</x:f>
        <x:v>13982800</x:v>
      </x:c>
      <x:c r="J292" s="54" t="n">
        <x:f>I292-H292</x:f>
        <x:v>0</x:v>
      </x:c>
      <x:c r="K292" s="51" t="str">
        <x:v>Материал</x:v>
      </x:c>
      <x:c r="L292" s="51" t="str">
        <x:f>IF(J292=0,"OK","Шалгах")</x:f>
        <x:v>OK</x:v>
      </x:c>
      <x:c r="M292" s="51" t="str">
        <x:v>Заслын нийт төсөв</x:v>
      </x:c>
      <x:c r="N292" s="51" t="n">
        <x:v>274</x:v>
      </x:c>
    </x:row>
    <x:row r="293">
      <x:c r="A293" s="51" t="str">
        <x:v>MAT-6R-0279</x:v>
      </x:c>
      <x:c r="B293" s="52" t="str">
        <x:v>Гараашийн засал</x:v>
      </x:c>
      <x:c r="C293" s="52" t="str">
        <x:v>Бетон цутгалт /М250/</x:v>
      </x:c>
      <x:c r="D293" s="52" t="str"/>
      <x:c r="E293" s="52" t="str">
        <x:v>м3</x:v>
      </x:c>
      <x:c r="F293" s="53" t="n">
        <x:v>50</x:v>
      </x:c>
      <x:c r="G293" s="54" t="n">
        <x:v>310000</x:v>
      </x:c>
      <x:c r="H293" s="54" t="n">
        <x:v>15500000</x:v>
      </x:c>
      <x:c r="I293" s="54" t="n">
        <x:f>IF(AND(ISNUMBER(F293),ISNUMBER(G293)),ROUND(F293*G293,0),H293)</x:f>
        <x:v>15500000</x:v>
      </x:c>
      <x:c r="J293" s="54" t="n">
        <x:f>I293-H293</x:f>
        <x:v>0</x:v>
      </x:c>
      <x:c r="K293" s="51" t="str">
        <x:v>Материал</x:v>
      </x:c>
      <x:c r="L293" s="51" t="str">
        <x:f>IF(J293=0,"OK","Шалгах")</x:f>
        <x:v>OK</x:v>
      </x:c>
      <x:c r="M293" s="51" t="str">
        <x:v>Заслын нийт төсөв</x:v>
      </x:c>
      <x:c r="N293" s="51" t="n">
        <x:v>275</x:v>
      </x:c>
    </x:row>
    <x:row r="294">
      <x:c r="A294" s="51" t="str">
        <x:v>MAT-6R-0280</x:v>
      </x:c>
      <x:c r="B294" s="52" t="str">
        <x:v>Гараашийн засал</x:v>
      </x:c>
      <x:c r="C294" s="52" t="str">
        <x:v>Шал резин будаг S</x:v>
      </x:c>
      <x:c r="D294" s="52" t="str"/>
      <x:c r="E294" s="52" t="str">
        <x:v>м2</x:v>
      </x:c>
      <x:c r="F294" s="53" t="n">
        <x:v>500</x:v>
      </x:c>
      <x:c r="G294" s="54" t="n">
        <x:v>14300</x:v>
      </x:c>
      <x:c r="H294" s="54" t="n">
        <x:v>7150000</x:v>
      </x:c>
      <x:c r="I294" s="54" t="n">
        <x:f>IF(AND(ISNUMBER(F294),ISNUMBER(G294)),ROUND(F294*G294,0),H294)</x:f>
        <x:v>7150000</x:v>
      </x:c>
      <x:c r="J294" s="54" t="n">
        <x:f>I294-H294</x:f>
        <x:v>0</x:v>
      </x:c>
      <x:c r="K294" s="51" t="str">
        <x:v>Материал</x:v>
      </x:c>
      <x:c r="L294" s="51" t="str">
        <x:f>IF(J294=0,"OK","Шалгах")</x:f>
        <x:v>OK</x:v>
      </x:c>
      <x:c r="M294" s="51" t="str">
        <x:v>Заслын нийт төсөв</x:v>
      </x:c>
      <x:c r="N294" s="51" t="n">
        <x:v>276</x:v>
      </x:c>
    </x:row>
    <x:row r="295">
      <x:c r="A295" s="51" t="str">
        <x:v>MAT-6R-0281</x:v>
      </x:c>
      <x:c r="B295" s="52" t="str">
        <x:v>Гараашийн засал</x:v>
      </x:c>
      <x:c r="C295" s="52" t="str">
        <x:v>Хар тосон түрэхлэг</x:v>
      </x:c>
      <x:c r="D295" s="52" t="str"/>
      <x:c r="E295" s="52" t="str">
        <x:v>кг</x:v>
      </x:c>
      <x:c r="F295" s="53" t="n">
        <x:v>64</x:v>
      </x:c>
      <x:c r="G295" s="54" t="n">
        <x:v>5844</x:v>
      </x:c>
      <x:c r="H295" s="54" t="n">
        <x:v>374016</x:v>
      </x:c>
      <x:c r="I295" s="54" t="n">
        <x:f>IF(AND(ISNUMBER(F295),ISNUMBER(G295)),ROUND(F295*G295,0),H295)</x:f>
        <x:v>374016</x:v>
      </x:c>
      <x:c r="J295" s="54" t="n">
        <x:f>I295-H295</x:f>
        <x:v>0</x:v>
      </x:c>
      <x:c r="K295" s="51" t="str">
        <x:v>Материал</x:v>
      </x:c>
      <x:c r="L295" s="51" t="str">
        <x:f>IF(J295=0,"OK","Шалгах")</x:f>
        <x:v>OK</x:v>
      </x:c>
      <x:c r="M295" s="51" t="str">
        <x:v>Заслын нийт төсөв</x:v>
      </x:c>
      <x:c r="N295" s="51" t="n">
        <x:v>277</x:v>
      </x:c>
    </x:row>
    <x:row r="296">
      <x:c r="A296" s="51" t="str">
        <x:v>MAT-6R-0282</x:v>
      </x:c>
      <x:c r="B296" s="52" t="str">
        <x:v>Гараашийн засал</x:v>
      </x:c>
      <x:c r="C296" s="52" t="str">
        <x:v>Дулаалгын хөөс /9см/</x:v>
      </x:c>
      <x:c r="D296" s="52" t="str"/>
      <x:c r="E296" s="52" t="str">
        <x:v>м3</x:v>
      </x:c>
      <x:c r="F296" s="53" t="n">
        <x:v>48</x:v>
      </x:c>
      <x:c r="G296" s="54" t="n">
        <x:v>220000</x:v>
      </x:c>
      <x:c r="H296" s="54" t="n">
        <x:v>10560000</x:v>
      </x:c>
      <x:c r="I296" s="54" t="n">
        <x:f>IF(AND(ISNUMBER(F296),ISNUMBER(G296)),ROUND(F296*G296,0),H296)</x:f>
        <x:v>10560000</x:v>
      </x:c>
      <x:c r="J296" s="54" t="n">
        <x:f>I296-H296</x:f>
        <x:v>0</x:v>
      </x:c>
      <x:c r="K296" s="51" t="str">
        <x:v>Материал</x:v>
      </x:c>
      <x:c r="L296" s="51" t="str">
        <x:f>IF(J296=0,"OK","Шалгах")</x:f>
        <x:v>OK</x:v>
      </x:c>
      <x:c r="M296" s="51" t="str">
        <x:v>Заслын нийт төсөв</x:v>
      </x:c>
      <x:c r="N296" s="51" t="n">
        <x:v>278</x:v>
      </x:c>
    </x:row>
    <x:row r="297">
      <x:c r="A297" s="51" t="str">
        <x:v>MAT-6R-0283</x:v>
      </x:c>
      <x:c r="B297" s="52" t="str">
        <x:v>Гараашийн засал</x:v>
      </x:c>
      <x:c r="C297" s="52" t="str">
        <x:v>Нимгэн төмөр</x:v>
      </x:c>
      <x:c r="D297" s="52" t="str"/>
      <x:c r="E297" s="52" t="str">
        <x:v>м2</x:v>
      </x:c>
      <x:c r="F297" s="53" t="n">
        <x:v>220</x:v>
      </x:c>
      <x:c r="G297" s="54" t="n">
        <x:v>14300</x:v>
      </x:c>
      <x:c r="H297" s="54" t="n">
        <x:v>3146000</x:v>
      </x:c>
      <x:c r="I297" s="54" t="n">
        <x:f>IF(AND(ISNUMBER(F297),ISNUMBER(G297)),ROUND(F297*G297,0),H297)</x:f>
        <x:v>3146000</x:v>
      </x:c>
      <x:c r="J297" s="54" t="n">
        <x:f>I297-H297</x:f>
        <x:v>0</x:v>
      </x:c>
      <x:c r="K297" s="51" t="str">
        <x:v>Материал</x:v>
      </x:c>
      <x:c r="L297" s="51" t="str">
        <x:f>IF(J297=0,"OK","Шалгах")</x:f>
        <x:v>OK</x:v>
      </x:c>
      <x:c r="M297" s="51" t="str">
        <x:v>Заслын нийт төсөв</x:v>
      </x:c>
      <x:c r="N297" s="51" t="n">
        <x:v>279</x:v>
      </x:c>
    </x:row>
    <x:row r="298">
      <x:c r="A298" s="51" t="str">
        <x:v>MAT-6R-0284</x:v>
      </x:c>
      <x:c r="B298" s="52" t="str">
        <x:v>Гараашийн засал</x:v>
      </x:c>
      <x:c r="C298" s="52" t="str">
        <x:v>Том өнхөрүүш</x:v>
      </x:c>
      <x:c r="D298" s="52" t="str"/>
      <x:c r="E298" s="52" t="str">
        <x:v>ш</x:v>
      </x:c>
      <x:c r="F298" s="53" t="n">
        <x:v>5</x:v>
      </x:c>
      <x:c r="G298" s="54" t="n">
        <x:v>6050</x:v>
      </x:c>
      <x:c r="H298" s="54" t="n">
        <x:v>30250</x:v>
      </x:c>
      <x:c r="I298" s="54" t="n">
        <x:f>IF(AND(ISNUMBER(F298),ISNUMBER(G298)),ROUND(F298*G298,0),H298)</x:f>
        <x:v>30250</x:v>
      </x:c>
      <x:c r="J298" s="54" t="n">
        <x:f>I298-H298</x:f>
        <x:v>0</x:v>
      </x:c>
      <x:c r="K298" s="51" t="str">
        <x:v>Материал</x:v>
      </x:c>
      <x:c r="L298" s="51" t="str">
        <x:f>IF(J298=0,"OK","Шалгах")</x:f>
        <x:v>OK</x:v>
      </x:c>
      <x:c r="M298" s="51" t="str">
        <x:v>Заслын нийт төсөв</x:v>
      </x:c>
      <x:c r="N298" s="51" t="n">
        <x:v>280</x:v>
      </x:c>
    </x:row>
    <x:row r="299">
      <x:c r="A299" s="51" t="str">
        <x:v>MAT-6R-0285</x:v>
      </x:c>
      <x:c r="B299" s="52" t="str">
        <x:v>Гараашийн засал</x:v>
      </x:c>
      <x:c r="C299" s="52" t="str">
        <x:v>Фасад хадаас /160-200мм/</x:v>
      </x:c>
      <x:c r="D299" s="52" t="str"/>
      <x:c r="E299" s="52" t="str">
        <x:v>ш</x:v>
      </x:c>
      <x:c r="F299" s="53" t="n">
        <x:v>1300</x:v>
      </x:c>
      <x:c r="G299" s="54" t="n">
        <x:v>330</x:v>
      </x:c>
      <x:c r="H299" s="54" t="n">
        <x:v>429000</x:v>
      </x:c>
      <x:c r="I299" s="54" t="n">
        <x:f>IF(AND(ISNUMBER(F299),ISNUMBER(G299)),ROUND(F299*G299,0),H299)</x:f>
        <x:v>429000</x:v>
      </x:c>
      <x:c r="J299" s="54" t="n">
        <x:f>I299-H299</x:f>
        <x:v>0</x:v>
      </x:c>
      <x:c r="K299" s="51" t="str">
        <x:v>Материал</x:v>
      </x:c>
      <x:c r="L299" s="51" t="str">
        <x:f>IF(J299=0,"OK","Шалгах")</x:f>
        <x:v>OK</x:v>
      </x:c>
      <x:c r="M299" s="51" t="str">
        <x:v>Заслын нийт төсөв</x:v>
      </x:c>
      <x:c r="N299" s="51" t="n">
        <x:v>281</x:v>
      </x:c>
    </x:row>
    <x:row r="300">
      <x:c r="A300" s="51" t="str">
        <x:v>MAT-6R-0286</x:v>
      </x:c>
      <x:c r="B300" s="52" t="str">
        <x:v>Нэмэлт ажил</x:v>
      </x:c>
      <x:c r="C300" s="52" t="str">
        <x:v>Гадна тохижилт</x:v>
      </x:c>
      <x:c r="D300" s="52" t="str"/>
      <x:c r="E300" s="52" t="str">
        <x:v>төг</x:v>
      </x:c>
      <x:c r="F300" s="53"/>
      <x:c r="G300" s="54"/>
      <x:c r="H300" s="54" t="n">
        <x:v>200000000</x:v>
      </x:c>
      <x:c r="I300" s="54" t="n">
        <x:f>IF(AND(ISNUMBER(F300),ISNUMBER(G300)),ROUND(F300*G300,0),H300)</x:f>
        <x:v>200000000</x:v>
      </x:c>
      <x:c r="J300" s="54" t="n">
        <x:f>I300-H300</x:f>
        <x:v>0</x:v>
      </x:c>
      <x:c r="K300" s="51" t="str">
        <x:v>Материал</x:v>
      </x:c>
      <x:c r="L300" s="51" t="str">
        <x:f>IF(J300=0,"OK","Шалгах")</x:f>
        <x:v>OK</x:v>
      </x:c>
      <x:c r="M300" s="51" t="str">
        <x:v>Заслын нийт төсөв</x:v>
      </x:c>
      <x:c r="N300" s="51" t="n">
        <x:v>283</x:v>
      </x:c>
    </x:row>
    <x:row r="301">
      <x:c r="A301" s="51" t="str">
        <x:v>MAT-6R-0287</x:v>
      </x:c>
      <x:c r="B301" s="52" t="str">
        <x:v>Нэмэлт ажил</x:v>
      </x:c>
      <x:c r="C301" s="52" t="str">
        <x:v>Нэгдсэн орц</x:v>
      </x:c>
      <x:c r="D301" s="52" t="str"/>
      <x:c r="E301" s="52" t="str">
        <x:v>төг</x:v>
      </x:c>
      <x:c r="F301" s="53"/>
      <x:c r="G301" s="54"/>
      <x:c r="H301" s="54" t="n">
        <x:v>100000000</x:v>
      </x:c>
      <x:c r="I301" s="54" t="n">
        <x:f>IF(AND(ISNUMBER(F301),ISNUMBER(G301)),ROUND(F301*G301,0),H301)</x:f>
        <x:v>100000000</x:v>
      </x:c>
      <x:c r="J301" s="54" t="n">
        <x:f>I301-H301</x:f>
        <x:v>0</x:v>
      </x:c>
      <x:c r="K301" s="51" t="str">
        <x:v>Материал</x:v>
      </x:c>
      <x:c r="L301" s="51" t="str">
        <x:f>IF(J301=0,"OK","Шалгах")</x:f>
        <x:v>OK</x:v>
      </x:c>
      <x:c r="M301" s="51" t="str">
        <x:v>Заслын нийт төсөв</x:v>
      </x:c>
      <x:c r="N301" s="51" t="n">
        <x:v>284</x:v>
      </x:c>
    </x:row>
    <x:row r="302">
      <x:c r="A302" s="51" t="str">
        <x:v>MAT-6R-0288</x:v>
      </x:c>
      <x:c r="B302" s="52" t="str">
        <x:v>Дотор халаалтын систем</x:v>
      </x:c>
      <x:c r="C302" s="52" t="str">
        <x:v>ган труба Ф159</x:v>
      </x:c>
      <x:c r="D302" s="52" t="str"/>
      <x:c r="E302" s="52" t="str">
        <x:v>У/м</x:v>
      </x:c>
      <x:c r="F302" s="53" t="n">
        <x:v>8</x:v>
      </x:c>
      <x:c r="G302" s="54" t="n">
        <x:v>130181</x:v>
      </x:c>
      <x:c r="H302" s="54" t="n">
        <x:v>1041448</x:v>
      </x:c>
      <x:c r="I302" s="54" t="n">
        <x:f>IF(AND(ISNUMBER(F302),ISNUMBER(G302)),ROUND(F302*G302,0),H302)</x:f>
        <x:v>1041448</x:v>
      </x:c>
      <x:c r="J302" s="54" t="n">
        <x:f>I302-H302</x:f>
        <x:v>0</x:v>
      </x:c>
      <x:c r="K302" s="51" t="str">
        <x:v>Материал</x:v>
      </x:c>
      <x:c r="L302" s="51" t="str">
        <x:f>IF(J302=0,"OK","Шалгах")</x:f>
        <x:v>OK</x:v>
      </x:c>
      <x:c r="M302" s="51" t="str">
        <x:v>Сантехник</x:v>
      </x:c>
      <x:c r="N302" s="51" t="n">
        <x:v>5</x:v>
      </x:c>
    </x:row>
    <x:row r="303">
      <x:c r="A303" s="51" t="str">
        <x:v>MAT-6R-0289</x:v>
      </x:c>
      <x:c r="B303" s="52" t="str">
        <x:v>Дотор халаалтын систем</x:v>
      </x:c>
      <x:c r="C303" s="52" t="str">
        <x:v>ган труба Ф89</x:v>
      </x:c>
      <x:c r="D303" s="52" t="str"/>
      <x:c r="E303" s="52" t="str">
        <x:v>У/м</x:v>
      </x:c>
      <x:c r="F303" s="53" t="n">
        <x:v>66</x:v>
      </x:c>
      <x:c r="G303" s="54" t="n">
        <x:v>63373</x:v>
      </x:c>
      <x:c r="H303" s="54" t="n">
        <x:v>4182618</x:v>
      </x:c>
      <x:c r="I303" s="54" t="n">
        <x:f>IF(AND(ISNUMBER(F303),ISNUMBER(G303)),ROUND(F303*G303,0),H303)</x:f>
        <x:v>4182618</x:v>
      </x:c>
      <x:c r="J303" s="54" t="n">
        <x:f>I303-H303</x:f>
        <x:v>0</x:v>
      </x:c>
      <x:c r="K303" s="51" t="str">
        <x:v>Материал</x:v>
      </x:c>
      <x:c r="L303" s="51" t="str">
        <x:f>IF(J303=0,"OK","Шалгах")</x:f>
        <x:v>OK</x:v>
      </x:c>
      <x:c r="M303" s="51" t="str">
        <x:v>Сантехник</x:v>
      </x:c>
      <x:c r="N303" s="51" t="n">
        <x:v>6</x:v>
      </x:c>
    </x:row>
    <x:row r="304">
      <x:c r="A304" s="51" t="str">
        <x:v>MAT-6R-0290</x:v>
      </x:c>
      <x:c r="B304" s="52" t="str">
        <x:v>Дотор халаалтын систем</x:v>
      </x:c>
      <x:c r="C304" s="52" t="str">
        <x:v>ган труба Ф80</x:v>
      </x:c>
      <x:c r="D304" s="52" t="str"/>
      <x:c r="E304" s="52" t="str">
        <x:v>У/м</x:v>
      </x:c>
      <x:c r="F304" s="53"/>
      <x:c r="G304" s="54" t="n">
        <x:v>54085</x:v>
      </x:c>
      <x:c r="H304" s="54" t="n">
        <x:v>0</x:v>
      </x:c>
      <x:c r="I304" s="54" t="n">
        <x:f>IF(AND(ISNUMBER(F304),ISNUMBER(G304)),ROUND(F304*G304,0),H304)</x:f>
        <x:v>0</x:v>
      </x:c>
      <x:c r="J304" s="54" t="n">
        <x:f>I304-H304</x:f>
        <x:v>0</x:v>
      </x:c>
      <x:c r="K304" s="51" t="str">
        <x:v>Материал</x:v>
      </x:c>
      <x:c r="L304" s="51" t="str">
        <x:f>IF(J304=0,"OK","Шалгах")</x:f>
        <x:v>OK</x:v>
      </x:c>
      <x:c r="M304" s="51" t="str">
        <x:v>Сантехник</x:v>
      </x:c>
      <x:c r="N304" s="51" t="n">
        <x:v>7</x:v>
      </x:c>
    </x:row>
    <x:row r="305">
      <x:c r="A305" s="51" t="str">
        <x:v>MAT-6R-0291</x:v>
      </x:c>
      <x:c r="B305" s="52" t="str">
        <x:v>Дотор халаалтын систем</x:v>
      </x:c>
      <x:c r="C305" s="52" t="str">
        <x:v>ган труба Ф76</x:v>
      </x:c>
      <x:c r="D305" s="52" t="str"/>
      <x:c r="E305" s="52" t="str">
        <x:v>У/м</x:v>
      </x:c>
      <x:c r="F305" s="53" t="n">
        <x:v>48</x:v>
      </x:c>
      <x:c r="G305" s="54" t="n">
        <x:v>37754</x:v>
      </x:c>
      <x:c r="H305" s="54" t="n">
        <x:v>1812192</x:v>
      </x:c>
      <x:c r="I305" s="54" t="n">
        <x:f>IF(AND(ISNUMBER(F305),ISNUMBER(G305)),ROUND(F305*G305,0),H305)</x:f>
        <x:v>1812192</x:v>
      </x:c>
      <x:c r="J305" s="54" t="n">
        <x:f>I305-H305</x:f>
        <x:v>0</x:v>
      </x:c>
      <x:c r="K305" s="51" t="str">
        <x:v>Материал</x:v>
      </x:c>
      <x:c r="L305" s="51" t="str">
        <x:f>IF(J305=0,"OK","Шалгах")</x:f>
        <x:v>OK</x:v>
      </x:c>
      <x:c r="M305" s="51" t="str">
        <x:v>Сантехник</x:v>
      </x:c>
      <x:c r="N305" s="51" t="n">
        <x:v>8</x:v>
      </x:c>
    </x:row>
    <x:row r="306">
      <x:c r="A306" s="51" t="str">
        <x:v>MAT-6R-0292</x:v>
      </x:c>
      <x:c r="B306" s="52" t="str">
        <x:v>Дотор халаалтын систем</x:v>
      </x:c>
      <x:c r="C306" s="52" t="str">
        <x:v>ган труба Ф65</x:v>
      </x:c>
      <x:c r="D306" s="52" t="str"/>
      <x:c r="E306" s="52" t="str">
        <x:v>У/м</x:v>
      </x:c>
      <x:c r="F306" s="53" t="n">
        <x:v>150</x:v>
      </x:c>
      <x:c r="G306" s="54" t="n">
        <x:v>54085</x:v>
      </x:c>
      <x:c r="H306" s="54" t="n">
        <x:v>8112750</x:v>
      </x:c>
      <x:c r="I306" s="54" t="n">
        <x:f>IF(AND(ISNUMBER(F306),ISNUMBER(G306)),ROUND(F306*G306,0),H306)</x:f>
        <x:v>8112750</x:v>
      </x:c>
      <x:c r="J306" s="54" t="n">
        <x:f>I306-H306</x:f>
        <x:v>0</x:v>
      </x:c>
      <x:c r="K306" s="51" t="str">
        <x:v>Материал</x:v>
      </x:c>
      <x:c r="L306" s="51" t="str">
        <x:f>IF(J306=0,"OK","Шалгах")</x:f>
        <x:v>OK</x:v>
      </x:c>
      <x:c r="M306" s="51" t="str">
        <x:v>Сантехник</x:v>
      </x:c>
      <x:c r="N306" s="51" t="n">
        <x:v>9</x:v>
      </x:c>
    </x:row>
    <x:row r="307">
      <x:c r="A307" s="51" t="str">
        <x:v>MAT-6R-0293</x:v>
      </x:c>
      <x:c r="B307" s="52" t="str">
        <x:v>Дотор халаалтын систем</x:v>
      </x:c>
      <x:c r="C307" s="52" t="str">
        <x:v>ган труба Ф50</x:v>
      </x:c>
      <x:c r="D307" s="52" t="str"/>
      <x:c r="E307" s="52" t="str">
        <x:v>У/м</x:v>
      </x:c>
      <x:c r="F307" s="53" t="n">
        <x:v>72</x:v>
      </x:c>
      <x:c r="G307" s="54" t="n">
        <x:v>37754</x:v>
      </x:c>
      <x:c r="H307" s="54" t="n">
        <x:v>2718288</x:v>
      </x:c>
      <x:c r="I307" s="54" t="n">
        <x:f>IF(AND(ISNUMBER(F307),ISNUMBER(G307)),ROUND(F307*G307,0),H307)</x:f>
        <x:v>2718288</x:v>
      </x:c>
      <x:c r="J307" s="54" t="n">
        <x:f>I307-H307</x:f>
        <x:v>0</x:v>
      </x:c>
      <x:c r="K307" s="51" t="str">
        <x:v>Материал</x:v>
      </x:c>
      <x:c r="L307" s="51" t="str">
        <x:f>IF(J307=0,"OK","Шалгах")</x:f>
        <x:v>OK</x:v>
      </x:c>
      <x:c r="M307" s="51" t="str">
        <x:v>Сантехник</x:v>
      </x:c>
      <x:c r="N307" s="51" t="n">
        <x:v>10</x:v>
      </x:c>
    </x:row>
    <x:row r="308">
      <x:c r="A308" s="51" t="str">
        <x:v>MAT-6R-0294</x:v>
      </x:c>
      <x:c r="B308" s="52" t="str">
        <x:v>Дотор халаалтын систем</x:v>
      </x:c>
      <x:c r="C308" s="52" t="str">
        <x:v>ган труба Ф40</x:v>
      </x:c>
      <x:c r="D308" s="52" t="str"/>
      <x:c r="E308" s="52" t="str">
        <x:v>У/м</x:v>
      </x:c>
      <x:c r="F308" s="53" t="n">
        <x:v>48</x:v>
      </x:c>
      <x:c r="G308" s="54" t="n">
        <x:v>21675</x:v>
      </x:c>
      <x:c r="H308" s="54" t="n">
        <x:v>1040400</x:v>
      </x:c>
      <x:c r="I308" s="54" t="n">
        <x:f>IF(AND(ISNUMBER(F308),ISNUMBER(G308)),ROUND(F308*G308,0),H308)</x:f>
        <x:v>1040400</x:v>
      </x:c>
      <x:c r="J308" s="54" t="n">
        <x:f>I308-H308</x:f>
        <x:v>0</x:v>
      </x:c>
      <x:c r="K308" s="51" t="str">
        <x:v>Материал</x:v>
      </x:c>
      <x:c r="L308" s="51" t="str">
        <x:f>IF(J308=0,"OK","Шалгах")</x:f>
        <x:v>OK</x:v>
      </x:c>
      <x:c r="M308" s="51" t="str">
        <x:v>Сантехник</x:v>
      </x:c>
      <x:c r="N308" s="51" t="n">
        <x:v>11</x:v>
      </x:c>
    </x:row>
    <x:row r="309">
      <x:c r="A309" s="51" t="str">
        <x:v>MAT-6R-0295</x:v>
      </x:c>
      <x:c r="B309" s="52" t="str">
        <x:v>Дотор халаалтын систем</x:v>
      </x:c>
      <x:c r="C309" s="52" t="str">
        <x:v>ган труба Ф32</x:v>
      </x:c>
      <x:c r="D309" s="52" t="str"/>
      <x:c r="E309" s="52" t="str">
        <x:v>У/м</x:v>
      </x:c>
      <x:c r="F309" s="53" t="n">
        <x:v>64</x:v>
      </x:c>
      <x:c r="G309" s="54" t="n">
        <x:v>16874</x:v>
      </x:c>
      <x:c r="H309" s="54" t="n">
        <x:v>1079936</x:v>
      </x:c>
      <x:c r="I309" s="54" t="n">
        <x:f>IF(AND(ISNUMBER(F309),ISNUMBER(G309)),ROUND(F309*G309,0),H309)</x:f>
        <x:v>1079936</x:v>
      </x:c>
      <x:c r="J309" s="54" t="n">
        <x:f>I309-H309</x:f>
        <x:v>0</x:v>
      </x:c>
      <x:c r="K309" s="51" t="str">
        <x:v>Материал</x:v>
      </x:c>
      <x:c r="L309" s="51" t="str">
        <x:f>IF(J309=0,"OK","Шалгах")</x:f>
        <x:v>OK</x:v>
      </x:c>
      <x:c r="M309" s="51" t="str">
        <x:v>Сантехник</x:v>
      </x:c>
      <x:c r="N309" s="51" t="n">
        <x:v>12</x:v>
      </x:c>
    </x:row>
    <x:row r="310">
      <x:c r="A310" s="51" t="str">
        <x:v>MAT-6R-0296</x:v>
      </x:c>
      <x:c r="B310" s="52" t="str">
        <x:v>Дотор халаалтын систем</x:v>
      </x:c>
      <x:c r="C310" s="52" t="str">
        <x:v>ган труба Ф25</x:v>
      </x:c>
      <x:c r="D310" s="52" t="str"/>
      <x:c r="E310" s="52" t="str">
        <x:v>У/м</x:v>
      </x:c>
      <x:c r="F310" s="53" t="n">
        <x:v>120</x:v>
      </x:c>
      <x:c r="G310" s="54" t="n">
        <x:v>13934</x:v>
      </x:c>
      <x:c r="H310" s="54" t="n">
        <x:v>1672080</x:v>
      </x:c>
      <x:c r="I310" s="54" t="n">
        <x:f>IF(AND(ISNUMBER(F310),ISNUMBER(G310)),ROUND(F310*G310,0),H310)</x:f>
        <x:v>1672080</x:v>
      </x:c>
      <x:c r="J310" s="54" t="n">
        <x:f>I310-H310</x:f>
        <x:v>0</x:v>
      </x:c>
      <x:c r="K310" s="51" t="str">
        <x:v>Материал</x:v>
      </x:c>
      <x:c r="L310" s="51" t="str">
        <x:f>IF(J310=0,"OK","Шалгах")</x:f>
        <x:v>OK</x:v>
      </x:c>
      <x:c r="M310" s="51" t="str">
        <x:v>Сантехник</x:v>
      </x:c>
      <x:c r="N310" s="51" t="n">
        <x:v>13</x:v>
      </x:c>
    </x:row>
    <x:row r="311">
      <x:c r="A311" s="51" t="str">
        <x:v>MAT-6R-0297</x:v>
      </x:c>
      <x:c r="B311" s="52" t="str">
        <x:v>Дотор халаалтын систем</x:v>
      </x:c>
      <x:c r="C311" s="52" t="str">
        <x:v>ган труба Ф20</x:v>
      </x:c>
      <x:c r="D311" s="52" t="str"/>
      <x:c r="E311" s="52" t="str">
        <x:v>У/м</x:v>
      </x:c>
      <x:c r="F311" s="53" t="n">
        <x:v>50</x:v>
      </x:c>
      <x:c r="G311" s="54" t="n">
        <x:v>10554</x:v>
      </x:c>
      <x:c r="H311" s="54" t="n">
        <x:v>527700</x:v>
      </x:c>
      <x:c r="I311" s="54" t="n">
        <x:f>IF(AND(ISNUMBER(F311),ISNUMBER(G311)),ROUND(F311*G311,0),H311)</x:f>
        <x:v>527700</x:v>
      </x:c>
      <x:c r="J311" s="54" t="n">
        <x:f>I311-H311</x:f>
        <x:v>0</x:v>
      </x:c>
      <x:c r="K311" s="51" t="str">
        <x:v>Материал</x:v>
      </x:c>
      <x:c r="L311" s="51" t="str">
        <x:f>IF(J311=0,"OK","Шалгах")</x:f>
        <x:v>OK</x:v>
      </x:c>
      <x:c r="M311" s="51" t="str">
        <x:v>Сантехник</x:v>
      </x:c>
      <x:c r="N311" s="51" t="n">
        <x:v>14</x:v>
      </x:c>
    </x:row>
    <x:row r="312">
      <x:c r="A312" s="51" t="str">
        <x:v>MAT-6R-0298</x:v>
      </x:c>
      <x:c r="B312" s="52" t="str">
        <x:v>Дотор халаалтын систем</x:v>
      </x:c>
      <x:c r="C312" s="52" t="str">
        <x:v>ган труба Ф15</x:v>
      </x:c>
      <x:c r="D312" s="52" t="str"/>
      <x:c r="E312" s="52" t="str">
        <x:v>У/м</x:v>
      </x:c>
      <x:c r="F312" s="53" t="n">
        <x:v>80</x:v>
      </x:c>
      <x:c r="G312" s="54" t="n">
        <x:v>4500</x:v>
      </x:c>
      <x:c r="H312" s="54" t="n">
        <x:v>360000</x:v>
      </x:c>
      <x:c r="I312" s="54" t="n">
        <x:f>IF(AND(ISNUMBER(F312),ISNUMBER(G312)),ROUND(F312*G312,0),H312)</x:f>
        <x:v>360000</x:v>
      </x:c>
      <x:c r="J312" s="54" t="n">
        <x:f>I312-H312</x:f>
        <x:v>0</x:v>
      </x:c>
      <x:c r="K312" s="51" t="str">
        <x:v>Материал</x:v>
      </x:c>
      <x:c r="L312" s="51" t="str">
        <x:f>IF(J312=0,"OK","Шалгах")</x:f>
        <x:v>OK</x:v>
      </x:c>
      <x:c r="M312" s="51" t="str">
        <x:v>Сантехник</x:v>
      </x:c>
      <x:c r="N312" s="51" t="n">
        <x:v>15</x:v>
      </x:c>
    </x:row>
    <x:row r="313">
      <x:c r="A313" s="51" t="str">
        <x:v>MAT-6R-0299</x:v>
      </x:c>
      <x:c r="B313" s="52" t="str">
        <x:v>Дотор халаалтын систем</x:v>
      </x:c>
      <x:c r="C313" s="52" t="str">
        <x:v>Ф100 Хог шүүгч</x:v>
      </x:c>
      <x:c r="D313" s="52" t="str"/>
      <x:c r="E313" s="52" t="str">
        <x:v>ш</x:v>
      </x:c>
      <x:c r="F313" s="53" t="n">
        <x:v>1</x:v>
      </x:c>
      <x:c r="G313" s="54" t="n">
        <x:v>180000</x:v>
      </x:c>
      <x:c r="H313" s="54" t="n">
        <x:v>180000</x:v>
      </x:c>
      <x:c r="I313" s="54" t="n">
        <x:f>IF(AND(ISNUMBER(F313),ISNUMBER(G313)),ROUND(F313*G313,0),H313)</x:f>
        <x:v>180000</x:v>
      </x:c>
      <x:c r="J313" s="54" t="n">
        <x:f>I313-H313</x:f>
        <x:v>0</x:v>
      </x:c>
      <x:c r="K313" s="51" t="str">
        <x:v>Материал</x:v>
      </x:c>
      <x:c r="L313" s="51" t="str">
        <x:f>IF(J313=0,"OK","Шалгах")</x:f>
        <x:v>OK</x:v>
      </x:c>
      <x:c r="M313" s="51" t="str">
        <x:v>Сантехник</x:v>
      </x:c>
      <x:c r="N313" s="51" t="n">
        <x:v>16</x:v>
      </x:c>
    </x:row>
    <x:row r="314">
      <x:c r="A314" s="51" t="str">
        <x:v>MAT-6R-0300</x:v>
      </x:c>
      <x:c r="B314" s="52" t="str">
        <x:v>Дотор халаалтын систем</x:v>
      </x:c>
      <x:c r="C314" s="52" t="str">
        <x:v>Ф100 Фланц</x:v>
      </x:c>
      <x:c r="D314" s="52" t="str"/>
      <x:c r="E314" s="52" t="str">
        <x:v>ш</x:v>
      </x:c>
      <x:c r="F314" s="53" t="n">
        <x:v>2</x:v>
      </x:c>
      <x:c r="G314" s="54" t="n">
        <x:v>560000</x:v>
      </x:c>
      <x:c r="H314" s="54" t="n">
        <x:v>1120000</x:v>
      </x:c>
      <x:c r="I314" s="54" t="n">
        <x:f>IF(AND(ISNUMBER(F314),ISNUMBER(G314)),ROUND(F314*G314,0),H314)</x:f>
        <x:v>1120000</x:v>
      </x:c>
      <x:c r="J314" s="54" t="n">
        <x:f>I314-H314</x:f>
        <x:v>0</x:v>
      </x:c>
      <x:c r="K314" s="51" t="str">
        <x:v>Материал</x:v>
      </x:c>
      <x:c r="L314" s="51" t="str">
        <x:f>IF(J314=0,"OK","Шалгах")</x:f>
        <x:v>OK</x:v>
      </x:c>
      <x:c r="M314" s="51" t="str">
        <x:v>Сантехник</x:v>
      </x:c>
      <x:c r="N314" s="51" t="n">
        <x:v>17</x:v>
      </x:c>
    </x:row>
    <x:row r="315">
      <x:c r="A315" s="51" t="str">
        <x:v>MAT-6R-0301</x:v>
      </x:c>
      <x:c r="B315" s="52" t="str">
        <x:v>Дотор халаалтын систем</x:v>
      </x:c>
      <x:c r="C315" s="52" t="str">
        <x:v>Ф100 Паронит</x:v>
      </x:c>
      <x:c r="D315" s="52" t="str"/>
      <x:c r="E315" s="52" t="str">
        <x:v>ш</x:v>
      </x:c>
      <x:c r="F315" s="53" t="n">
        <x:v>2</x:v>
      </x:c>
      <x:c r="G315" s="54" t="n">
        <x:v>2200</x:v>
      </x:c>
      <x:c r="H315" s="54" t="n">
        <x:v>4400</x:v>
      </x:c>
      <x:c r="I315" s="54" t="n">
        <x:f>IF(AND(ISNUMBER(F315),ISNUMBER(G315)),ROUND(F315*G315,0),H315)</x:f>
        <x:v>4400</x:v>
      </x:c>
      <x:c r="J315" s="54" t="n">
        <x:f>I315-H315</x:f>
        <x:v>0</x:v>
      </x:c>
      <x:c r="K315" s="51" t="str">
        <x:v>Материал</x:v>
      </x:c>
      <x:c r="L315" s="51" t="str">
        <x:f>IF(J315=0,"OK","Шалгах")</x:f>
        <x:v>OK</x:v>
      </x:c>
      <x:c r="M315" s="51" t="str">
        <x:v>Сантехник</x:v>
      </x:c>
      <x:c r="N315" s="51" t="n">
        <x:v>18</x:v>
      </x:c>
    </x:row>
    <x:row r="316">
      <x:c r="A316" s="51" t="str">
        <x:v>MAT-6R-0302</x:v>
      </x:c>
      <x:c r="B316" s="52" t="str">
        <x:v>Дотор халаалтын систем</x:v>
      </x:c>
      <x:c r="C316" s="52" t="str">
        <x:v>М16 гайк</x:v>
      </x:c>
      <x:c r="D316" s="52" t="str"/>
      <x:c r="E316" s="52" t="str">
        <x:v>ш</x:v>
      </x:c>
      <x:c r="F316" s="53" t="n">
        <x:v>16</x:v>
      </x:c>
      <x:c r="G316" s="54" t="n">
        <x:v>1300</x:v>
      </x:c>
      <x:c r="H316" s="54" t="n">
        <x:v>20800</x:v>
      </x:c>
      <x:c r="I316" s="54" t="n">
        <x:f>IF(AND(ISNUMBER(F316),ISNUMBER(G316)),ROUND(F316*G316,0),H316)</x:f>
        <x:v>20800</x:v>
      </x:c>
      <x:c r="J316" s="54" t="n">
        <x:f>I316-H316</x:f>
        <x:v>0</x:v>
      </x:c>
      <x:c r="K316" s="51" t="str">
        <x:v>Материал</x:v>
      </x:c>
      <x:c r="L316" s="51" t="str">
        <x:f>IF(J316=0,"OK","Шалгах")</x:f>
        <x:v>OK</x:v>
      </x:c>
      <x:c r="M316" s="51" t="str">
        <x:v>Сантехник</x:v>
      </x:c>
      <x:c r="N316" s="51" t="n">
        <x:v>19</x:v>
      </x:c>
    </x:row>
    <x:row r="317">
      <x:c r="A317" s="51" t="str">
        <x:v>MAT-6R-0303</x:v>
      </x:c>
      <x:c r="B317" s="52" t="str">
        <x:v>Дотор халаалтын систем</x:v>
      </x:c>
      <x:c r="C317" s="52" t="str">
        <x:v>М16 боолт</x:v>
      </x:c>
      <x:c r="D317" s="52" t="str"/>
      <x:c r="E317" s="52" t="str">
        <x:v>ш</x:v>
      </x:c>
      <x:c r="F317" s="53" t="n">
        <x:v>16</x:v>
      </x:c>
      <x:c r="G317" s="54" t="n">
        <x:v>1300</x:v>
      </x:c>
      <x:c r="H317" s="54" t="n">
        <x:v>20800</x:v>
      </x:c>
      <x:c r="I317" s="54" t="n">
        <x:f>IF(AND(ISNUMBER(F317),ISNUMBER(G317)),ROUND(F317*G317,0),H317)</x:f>
        <x:v>20800</x:v>
      </x:c>
      <x:c r="J317" s="54" t="n">
        <x:f>I317-H317</x:f>
        <x:v>0</x:v>
      </x:c>
      <x:c r="K317" s="51" t="str">
        <x:v>Материал</x:v>
      </x:c>
      <x:c r="L317" s="51" t="str">
        <x:f>IF(J317=0,"OK","Шалгах")</x:f>
        <x:v>OK</x:v>
      </x:c>
      <x:c r="M317" s="51" t="str">
        <x:v>Сантехник</x:v>
      </x:c>
      <x:c r="N317" s="51" t="n">
        <x:v>20</x:v>
      </x:c>
    </x:row>
    <x:row r="318">
      <x:c r="A318" s="51" t="str">
        <x:v>MAT-6R-0304</x:v>
      </x:c>
      <x:c r="B318" s="52" t="str">
        <x:v>Дотор халаалтын систем</x:v>
      </x:c>
      <x:c r="C318" s="52" t="str">
        <x:v>Булан /Ган/Ф76</x:v>
      </x:c>
      <x:c r="D318" s="52" t="str"/>
      <x:c r="E318" s="52" t="str">
        <x:v>ш</x:v>
      </x:c>
      <x:c r="F318" s="53" t="n">
        <x:v>8</x:v>
      </x:c>
      <x:c r="G318" s="54" t="n">
        <x:v>20000</x:v>
      </x:c>
      <x:c r="H318" s="54" t="n">
        <x:v>160000</x:v>
      </x:c>
      <x:c r="I318" s="54" t="n">
        <x:f>IF(AND(ISNUMBER(F318),ISNUMBER(G318)),ROUND(F318*G318,0),H318)</x:f>
        <x:v>160000</x:v>
      </x:c>
      <x:c r="J318" s="54" t="n">
        <x:f>I318-H318</x:f>
        <x:v>0</x:v>
      </x:c>
      <x:c r="K318" s="51" t="str">
        <x:v>Материал</x:v>
      </x:c>
      <x:c r="L318" s="51" t="str">
        <x:f>IF(J318=0,"OK","Шалгах")</x:f>
        <x:v>OK</x:v>
      </x:c>
      <x:c r="M318" s="51" t="str">
        <x:v>Сантехник</x:v>
      </x:c>
      <x:c r="N318" s="51" t="n">
        <x:v>21</x:v>
      </x:c>
    </x:row>
    <x:row r="319">
      <x:c r="A319" s="51" t="str">
        <x:v>MAT-6R-0305</x:v>
      </x:c>
      <x:c r="B319" s="52" t="str">
        <x:v>Дотор халаалтын систем</x:v>
      </x:c>
      <x:c r="C319" s="52" t="str">
        <x:v>Булан /Ган/Ф32</x:v>
      </x:c>
      <x:c r="D319" s="52" t="str"/>
      <x:c r="E319" s="52" t="str">
        <x:v>ш</x:v>
      </x:c>
      <x:c r="F319" s="53" t="n">
        <x:v>40</x:v>
      </x:c>
      <x:c r="G319" s="54" t="n">
        <x:v>6600</x:v>
      </x:c>
      <x:c r="H319" s="54" t="n">
        <x:v>264000</x:v>
      </x:c>
      <x:c r="I319" s="54" t="n">
        <x:f>IF(AND(ISNUMBER(F319),ISNUMBER(G319)),ROUND(F319*G319,0),H319)</x:f>
        <x:v>264000</x:v>
      </x:c>
      <x:c r="J319" s="54" t="n">
        <x:f>I319-H319</x:f>
        <x:v>0</x:v>
      </x:c>
      <x:c r="K319" s="51" t="str">
        <x:v>Материал</x:v>
      </x:c>
      <x:c r="L319" s="51" t="str">
        <x:f>IF(J319=0,"OK","Шалгах")</x:f>
        <x:v>OK</x:v>
      </x:c>
      <x:c r="M319" s="51" t="str">
        <x:v>Сантехник</x:v>
      </x:c>
      <x:c r="N319" s="51" t="n">
        <x:v>22</x:v>
      </x:c>
    </x:row>
    <x:row r="320">
      <x:c r="A320" s="51" t="str">
        <x:v>MAT-6R-0306</x:v>
      </x:c>
      <x:c r="B320" s="52" t="str">
        <x:v>Дотор халаалтын систем</x:v>
      </x:c>
      <x:c r="C320" s="52" t="str">
        <x:v>Булан /Ган/Ф25</x:v>
      </x:c>
      <x:c r="D320" s="52" t="str"/>
      <x:c r="E320" s="52" t="str">
        <x:v>ш</x:v>
      </x:c>
      <x:c r="F320" s="53" t="n">
        <x:v>50</x:v>
      </x:c>
      <x:c r="G320" s="54" t="n">
        <x:v>5000</x:v>
      </x:c>
      <x:c r="H320" s="54" t="n">
        <x:v>250000</x:v>
      </x:c>
      <x:c r="I320" s="54" t="n">
        <x:f>IF(AND(ISNUMBER(F320),ISNUMBER(G320)),ROUND(F320*G320,0),H320)</x:f>
        <x:v>250000</x:v>
      </x:c>
      <x:c r="J320" s="54" t="n">
        <x:f>I320-H320</x:f>
        <x:v>0</x:v>
      </x:c>
      <x:c r="K320" s="51" t="str">
        <x:v>Материал</x:v>
      </x:c>
      <x:c r="L320" s="51" t="str">
        <x:f>IF(J320=0,"OK","Шалгах")</x:f>
        <x:v>OK</x:v>
      </x:c>
      <x:c r="M320" s="51" t="str">
        <x:v>Сантехник</x:v>
      </x:c>
      <x:c r="N320" s="51" t="n">
        <x:v>23</x:v>
      </x:c>
    </x:row>
    <x:row r="321">
      <x:c r="A321" s="51" t="str">
        <x:v>MAT-6R-0307</x:v>
      </x:c>
      <x:c r="B321" s="52" t="str">
        <x:v>Дотор халаалтын систем</x:v>
      </x:c>
      <x:c r="C321" s="52" t="str">
        <x:v>Булан /Ган/Ф20</x:v>
      </x:c>
      <x:c r="D321" s="52" t="str"/>
      <x:c r="E321" s="52" t="str">
        <x:v>ш</x:v>
      </x:c>
      <x:c r="F321" s="53" t="n">
        <x:v>102</x:v>
      </x:c>
      <x:c r="G321" s="54" t="n">
        <x:v>3000</x:v>
      </x:c>
      <x:c r="H321" s="54" t="n">
        <x:v>306000</x:v>
      </x:c>
      <x:c r="I321" s="54" t="n">
        <x:f>IF(AND(ISNUMBER(F321),ISNUMBER(G321)),ROUND(F321*G321,0),H321)</x:f>
        <x:v>306000</x:v>
      </x:c>
      <x:c r="J321" s="54" t="n">
        <x:f>I321-H321</x:f>
        <x:v>0</x:v>
      </x:c>
      <x:c r="K321" s="51" t="str">
        <x:v>Материал</x:v>
      </x:c>
      <x:c r="L321" s="51" t="str">
        <x:f>IF(J321=0,"OK","Шалгах")</x:f>
        <x:v>OK</x:v>
      </x:c>
      <x:c r="M321" s="51" t="str">
        <x:v>Сантехник</x:v>
      </x:c>
      <x:c r="N321" s="51" t="n">
        <x:v>24</x:v>
      </x:c>
    </x:row>
    <x:row r="322">
      <x:c r="A322" s="51" t="str">
        <x:v>MAT-6R-0308</x:v>
      </x:c>
      <x:c r="B322" s="52" t="str">
        <x:v>Дотор халаалтын систем</x:v>
      </x:c>
      <x:c r="C322" s="52" t="str">
        <x:v>Булан /Ган/Ф15</x:v>
      </x:c>
      <x:c r="D322" s="52" t="str"/>
      <x:c r="E322" s="52" t="str">
        <x:v>ш</x:v>
      </x:c>
      <x:c r="F322" s="53" t="n">
        <x:v>60</x:v>
      </x:c>
      <x:c r="G322" s="54" t="n">
        <x:v>2700</x:v>
      </x:c>
      <x:c r="H322" s="54" t="n">
        <x:v>162000</x:v>
      </x:c>
      <x:c r="I322" s="54" t="n">
        <x:f>IF(AND(ISNUMBER(F322),ISNUMBER(G322)),ROUND(F322*G322,0),H322)</x:f>
        <x:v>162000</x:v>
      </x:c>
      <x:c r="J322" s="54" t="n">
        <x:f>I322-H322</x:f>
        <x:v>0</x:v>
      </x:c>
      <x:c r="K322" s="51" t="str">
        <x:v>Материал</x:v>
      </x:c>
      <x:c r="L322" s="51" t="str">
        <x:f>IF(J322=0,"OK","Шалгах")</x:f>
        <x:v>OK</x:v>
      </x:c>
      <x:c r="M322" s="51" t="str">
        <x:v>Сантехник</x:v>
      </x:c>
      <x:c r="N322" s="51" t="n">
        <x:v>25</x:v>
      </x:c>
    </x:row>
    <x:row r="323">
      <x:c r="A323" s="51" t="str">
        <x:v>MAT-6R-0309</x:v>
      </x:c>
      <x:c r="B323" s="52" t="str">
        <x:v>Дотор халаалтын систем</x:v>
      </x:c>
      <x:c r="C323" s="52" t="str">
        <x:v>Бөмбөлгөн хаалт /ган/ Ф76</x:v>
      </x:c>
      <x:c r="D323" s="52" t="str"/>
      <x:c r="E323" s="52" t="str">
        <x:v>ш</x:v>
      </x:c>
      <x:c r="F323" s="53" t="n">
        <x:v>8</x:v>
      </x:c>
      <x:c r="G323" s="54" t="n">
        <x:v>220000</x:v>
      </x:c>
      <x:c r="H323" s="54" t="n">
        <x:v>1760000</x:v>
      </x:c>
      <x:c r="I323" s="54" t="n">
        <x:f>IF(AND(ISNUMBER(F323),ISNUMBER(G323)),ROUND(F323*G323,0),H323)</x:f>
        <x:v>1760000</x:v>
      </x:c>
      <x:c r="J323" s="54" t="n">
        <x:f>I323-H323</x:f>
        <x:v>0</x:v>
      </x:c>
      <x:c r="K323" s="51" t="str">
        <x:v>Материал</x:v>
      </x:c>
      <x:c r="L323" s="51" t="str">
        <x:f>IF(J323=0,"OK","Шалгах")</x:f>
        <x:v>OK</x:v>
      </x:c>
      <x:c r="M323" s="51" t="str">
        <x:v>Сантехник</x:v>
      </x:c>
      <x:c r="N323" s="51" t="n">
        <x:v>26</x:v>
      </x:c>
    </x:row>
    <x:row r="324">
      <x:c r="A324" s="51" t="str">
        <x:v>MAT-6R-0310</x:v>
      </x:c>
      <x:c r="B324" s="52" t="str">
        <x:v>Дотор халаалтын систем</x:v>
      </x:c>
      <x:c r="C324" s="52" t="str">
        <x:v>Бөмбөлгөн хаалт /ган/ Ф32</x:v>
      </x:c>
      <x:c r="D324" s="52" t="str"/>
      <x:c r="E324" s="52" t="str">
        <x:v>ш</x:v>
      </x:c>
      <x:c r="F324" s="53" t="n">
        <x:v>4</x:v>
      </x:c>
      <x:c r="G324" s="54" t="n">
        <x:v>115000</x:v>
      </x:c>
      <x:c r="H324" s="54" t="n">
        <x:v>460000</x:v>
      </x:c>
      <x:c r="I324" s="54" t="n">
        <x:f>IF(AND(ISNUMBER(F324),ISNUMBER(G324)),ROUND(F324*G324,0),H324)</x:f>
        <x:v>460000</x:v>
      </x:c>
      <x:c r="J324" s="54" t="n">
        <x:f>I324-H324</x:f>
        <x:v>0</x:v>
      </x:c>
      <x:c r="K324" s="51" t="str">
        <x:v>Материал</x:v>
      </x:c>
      <x:c r="L324" s="51" t="str">
        <x:f>IF(J324=0,"OK","Шалгах")</x:f>
        <x:v>OK</x:v>
      </x:c>
      <x:c r="M324" s="51" t="str">
        <x:v>Сантехник</x:v>
      </x:c>
      <x:c r="N324" s="51" t="n">
        <x:v>27</x:v>
      </x:c>
    </x:row>
    <x:row r="325">
      <x:c r="A325" s="51" t="str">
        <x:v>MAT-6R-0311</x:v>
      </x:c>
      <x:c r="B325" s="52" t="str">
        <x:v>Дотор халаалтын систем</x:v>
      </x:c>
      <x:c r="C325" s="52" t="str">
        <x:v>Бөмбөлгөн хаалт /ган/ Ф25</x:v>
      </x:c>
      <x:c r="D325" s="52" t="str"/>
      <x:c r="E325" s="52" t="str">
        <x:v>ш</x:v>
      </x:c>
      <x:c r="F325" s="53" t="n">
        <x:v>2</x:v>
      </x:c>
      <x:c r="G325" s="54" t="n">
        <x:v>105000</x:v>
      </x:c>
      <x:c r="H325" s="54" t="n">
        <x:v>210000</x:v>
      </x:c>
      <x:c r="I325" s="54" t="n">
        <x:f>IF(AND(ISNUMBER(F325),ISNUMBER(G325)),ROUND(F325*G325,0),H325)</x:f>
        <x:v>210000</x:v>
      </x:c>
      <x:c r="J325" s="54" t="n">
        <x:f>I325-H325</x:f>
        <x:v>0</x:v>
      </x:c>
      <x:c r="K325" s="51" t="str">
        <x:v>Материал</x:v>
      </x:c>
      <x:c r="L325" s="51" t="str">
        <x:f>IF(J325=0,"OK","Шалгах")</x:f>
        <x:v>OK</x:v>
      </x:c>
      <x:c r="M325" s="51" t="str">
        <x:v>Сантехник</x:v>
      </x:c>
      <x:c r="N325" s="51" t="n">
        <x:v>28</x:v>
      </x:c>
    </x:row>
    <x:row r="326">
      <x:c r="A326" s="51" t="str">
        <x:v>MAT-6R-0312</x:v>
      </x:c>
      <x:c r="B326" s="52" t="str">
        <x:v>Дотор халаалтын систем</x:v>
      </x:c>
      <x:c r="C326" s="52" t="str">
        <x:v>Хаалт Ф25 /холендортой/</x:v>
      </x:c>
      <x:c r="D326" s="52" t="str"/>
      <x:c r="E326" s="52" t="str">
        <x:v>ш</x:v>
      </x:c>
      <x:c r="F326" s="53" t="n">
        <x:v>34</x:v>
      </x:c>
      <x:c r="G326" s="54" t="n">
        <x:v>57000</x:v>
      </x:c>
      <x:c r="H326" s="54" t="n">
        <x:v>1938000</x:v>
      </x:c>
      <x:c r="I326" s="54" t="n">
        <x:f>IF(AND(ISNUMBER(F326),ISNUMBER(G326)),ROUND(F326*G326,0),H326)</x:f>
        <x:v>1938000</x:v>
      </x:c>
      <x:c r="J326" s="54" t="n">
        <x:f>I326-H326</x:f>
        <x:v>0</x:v>
      </x:c>
      <x:c r="K326" s="51" t="str">
        <x:v>Материал</x:v>
      </x:c>
      <x:c r="L326" s="51" t="str">
        <x:f>IF(J326=0,"OK","Шалгах")</x:f>
        <x:v>OK</x:v>
      </x:c>
      <x:c r="M326" s="51" t="str">
        <x:v>Сантехник</x:v>
      </x:c>
      <x:c r="N326" s="51" t="n">
        <x:v>29</x:v>
      </x:c>
    </x:row>
    <x:row r="327">
      <x:c r="A327" s="51" t="str">
        <x:v>MAT-6R-0313</x:v>
      </x:c>
      <x:c r="B327" s="52" t="str">
        <x:v>Дотор халаалтын систем</x:v>
      </x:c>
      <x:c r="C327" s="52" t="str">
        <x:v>Хаалт Ф20 /дотор резбатай PVC/</x:v>
      </x:c>
      <x:c r="D327" s="52" t="str"/>
      <x:c r="E327" s="52" t="str">
        <x:v>ш</x:v>
      </x:c>
      <x:c r="F327" s="53" t="n">
        <x:v>262</x:v>
      </x:c>
      <x:c r="G327" s="54" t="n">
        <x:v>18150</x:v>
      </x:c>
      <x:c r="H327" s="54" t="n">
        <x:v>4755300</x:v>
      </x:c>
      <x:c r="I327" s="54" t="n">
        <x:f>IF(AND(ISNUMBER(F327),ISNUMBER(G327)),ROUND(F327*G327,0),H327)</x:f>
        <x:v>4755300</x:v>
      </x:c>
      <x:c r="J327" s="54" t="n">
        <x:f>I327-H327</x:f>
        <x:v>0</x:v>
      </x:c>
      <x:c r="K327" s="51" t="str">
        <x:v>Материал</x:v>
      </x:c>
      <x:c r="L327" s="51" t="str">
        <x:f>IF(J327=0,"OK","Шалгах")</x:f>
        <x:v>OK</x:v>
      </x:c>
      <x:c r="M327" s="51" t="str">
        <x:v>Сантехник</x:v>
      </x:c>
      <x:c r="N327" s="51" t="n">
        <x:v>30</x:v>
      </x:c>
    </x:row>
    <x:row r="328">
      <x:c r="A328" s="51" t="str">
        <x:v>MAT-6R-0314</x:v>
      </x:c>
      <x:c r="B328" s="52" t="str">
        <x:v>Дотор халаалтын систем</x:v>
      </x:c>
      <x:c r="C328" s="52" t="str">
        <x:v>Хаалт Ф15 /дотор резбатай PVC/</x:v>
      </x:c>
      <x:c r="D328" s="52" t="str"/>
      <x:c r="E328" s="52" t="str">
        <x:v>ш</x:v>
      </x:c>
      <x:c r="F328" s="53" t="n">
        <x:v>17</x:v>
      </x:c>
      <x:c r="G328" s="54" t="n">
        <x:v>15400.000000000002</x:v>
      </x:c>
      <x:c r="H328" s="54" t="n">
        <x:v>261800</x:v>
      </x:c>
      <x:c r="I328" s="54" t="n">
        <x:f>IF(AND(ISNUMBER(F328),ISNUMBER(G328)),ROUND(F328*G328,0),H328)</x:f>
        <x:v>261800</x:v>
      </x:c>
      <x:c r="J328" s="54" t="n">
        <x:f>I328-H328</x:f>
        <x:v>0</x:v>
      </x:c>
      <x:c r="K328" s="51" t="str">
        <x:v>Материал</x:v>
      </x:c>
      <x:c r="L328" s="51" t="str">
        <x:f>IF(J328=0,"OK","Шалгах")</x:f>
        <x:v>OK</x:v>
      </x:c>
      <x:c r="M328" s="51" t="str">
        <x:v>Сантехник</x:v>
      </x:c>
      <x:c r="N328" s="51" t="n">
        <x:v>31</x:v>
      </x:c>
    </x:row>
    <x:row r="329">
      <x:c r="A329" s="51" t="str">
        <x:v>MAT-6R-0315</x:v>
      </x:c>
      <x:c r="B329" s="52" t="str">
        <x:v>Дотор халаалтын систем</x:v>
      </x:c>
      <x:c r="C329" s="52" t="str">
        <x:v>Хаалт /Винтель/ Ф15</x:v>
      </x:c>
      <x:c r="D329" s="52" t="str"/>
      <x:c r="E329" s="52" t="str">
        <x:v>ш</x:v>
      </x:c>
      <x:c r="F329" s="53" t="n">
        <x:v>10</x:v>
      </x:c>
      <x:c r="G329" s="54" t="n">
        <x:v>16500</x:v>
      </x:c>
      <x:c r="H329" s="54" t="n">
        <x:v>165000</x:v>
      </x:c>
      <x:c r="I329" s="54" t="n">
        <x:f>IF(AND(ISNUMBER(F329),ISNUMBER(G329)),ROUND(F329*G329,0),H329)</x:f>
        <x:v>165000</x:v>
      </x:c>
      <x:c r="J329" s="54" t="n">
        <x:f>I329-H329</x:f>
        <x:v>0</x:v>
      </x:c>
      <x:c r="K329" s="51" t="str">
        <x:v>Материал</x:v>
      </x:c>
      <x:c r="L329" s="51" t="str">
        <x:f>IF(J329=0,"OK","Шалгах")</x:f>
        <x:v>OK</x:v>
      </x:c>
      <x:c r="M329" s="51" t="str">
        <x:v>Сантехник</x:v>
      </x:c>
      <x:c r="N329" s="51" t="n">
        <x:v>32</x:v>
      </x:c>
    </x:row>
    <x:row r="330">
      <x:c r="A330" s="51" t="str">
        <x:v>MAT-6R-0316</x:v>
      </x:c>
      <x:c r="B330" s="52" t="str">
        <x:v>Дотор халаалтын систем</x:v>
      </x:c>
      <x:c r="C330" s="52" t="str">
        <x:v>Сосок /ган/Ф20</x:v>
      </x:c>
      <x:c r="D330" s="52" t="str"/>
      <x:c r="E330" s="52" t="str">
        <x:v>ш</x:v>
      </x:c>
      <x:c r="F330" s="53" t="n">
        <x:v>262</x:v>
      </x:c>
      <x:c r="G330" s="54" t="n">
        <x:v>2000</x:v>
      </x:c>
      <x:c r="H330" s="54" t="n">
        <x:v>524000</x:v>
      </x:c>
      <x:c r="I330" s="54" t="n">
        <x:f>IF(AND(ISNUMBER(F330),ISNUMBER(G330)),ROUND(F330*G330,0),H330)</x:f>
        <x:v>524000</x:v>
      </x:c>
      <x:c r="J330" s="54" t="n">
        <x:f>I330-H330</x:f>
        <x:v>0</x:v>
      </x:c>
      <x:c r="K330" s="51" t="str">
        <x:v>Материал</x:v>
      </x:c>
      <x:c r="L330" s="51" t="str">
        <x:f>IF(J330=0,"OK","Шалгах")</x:f>
        <x:v>OK</x:v>
      </x:c>
      <x:c r="M330" s="51" t="str">
        <x:v>Сантехник</x:v>
      </x:c>
      <x:c r="N330" s="51" t="n">
        <x:v>33</x:v>
      </x:c>
    </x:row>
    <x:row r="331">
      <x:c r="A331" s="51" t="str">
        <x:v>MAT-6R-0317</x:v>
      </x:c>
      <x:c r="B331" s="52" t="str">
        <x:v>Дотор халаалтын систем</x:v>
      </x:c>
      <x:c r="C331" s="52" t="str">
        <x:v>Сосок /ган/Ф15</x:v>
      </x:c>
      <x:c r="D331" s="52" t="str"/>
      <x:c r="E331" s="52" t="str">
        <x:v>ш</x:v>
      </x:c>
      <x:c r="F331" s="53" t="n">
        <x:v>45</x:v>
      </x:c>
      <x:c r="G331" s="54" t="n">
        <x:v>1700</x:v>
      </x:c>
      <x:c r="H331" s="54" t="n">
        <x:v>76500</x:v>
      </x:c>
      <x:c r="I331" s="54" t="n">
        <x:f>IF(AND(ISNUMBER(F331),ISNUMBER(G331)),ROUND(F331*G331,0),H331)</x:f>
        <x:v>76500</x:v>
      </x:c>
      <x:c r="J331" s="54" t="n">
        <x:f>I331-H331</x:f>
        <x:v>0</x:v>
      </x:c>
      <x:c r="K331" s="51" t="str">
        <x:v>Материал</x:v>
      </x:c>
      <x:c r="L331" s="51" t="str">
        <x:f>IF(J331=0,"OK","Шалгах")</x:f>
        <x:v>OK</x:v>
      </x:c>
      <x:c r="M331" s="51" t="str">
        <x:v>Сантехник</x:v>
      </x:c>
      <x:c r="N331" s="51" t="n">
        <x:v>34</x:v>
      </x:c>
    </x:row>
    <x:row r="332">
      <x:c r="A332" s="51" t="str">
        <x:v>MAT-6R-0318</x:v>
      </x:c>
      <x:c r="B332" s="52" t="str">
        <x:v>Дотор халаалтын систем</x:v>
      </x:c>
      <x:c r="C332" s="52" t="str">
        <x:v>Переход /ган/Ф159/100</x:v>
      </x:c>
      <x:c r="D332" s="52" t="str"/>
      <x:c r="E332" s="52" t="str">
        <x:v>ш</x:v>
      </x:c>
      <x:c r="F332" s="53" t="n">
        <x:v>2</x:v>
      </x:c>
      <x:c r="G332" s="54" t="n">
        <x:v>47000</x:v>
      </x:c>
      <x:c r="H332" s="54" t="n">
        <x:v>94000</x:v>
      </x:c>
      <x:c r="I332" s="54" t="n">
        <x:f>IF(AND(ISNUMBER(F332),ISNUMBER(G332)),ROUND(F332*G332,0),H332)</x:f>
        <x:v>94000</x:v>
      </x:c>
      <x:c r="J332" s="54" t="n">
        <x:f>I332-H332</x:f>
        <x:v>0</x:v>
      </x:c>
      <x:c r="K332" s="51" t="str">
        <x:v>Материал</x:v>
      </x:c>
      <x:c r="L332" s="51" t="str">
        <x:f>IF(J332=0,"OK","Шалгах")</x:f>
        <x:v>OK</x:v>
      </x:c>
      <x:c r="M332" s="51" t="str">
        <x:v>Сантехник</x:v>
      </x:c>
      <x:c r="N332" s="51" t="n">
        <x:v>35</x:v>
      </x:c>
    </x:row>
    <x:row r="333">
      <x:c r="A333" s="51" t="str">
        <x:v>MAT-6R-0319</x:v>
      </x:c>
      <x:c r="B333" s="52" t="str">
        <x:v>Дотор халаалтын систем</x:v>
      </x:c>
      <x:c r="C333" s="52" t="str">
        <x:v>Переход /ган/Ф80/76</x:v>
      </x:c>
      <x:c r="D333" s="52" t="str"/>
      <x:c r="E333" s="52" t="str">
        <x:v>ш</x:v>
      </x:c>
      <x:c r="F333" s="53" t="n">
        <x:v>8</x:v>
      </x:c>
      <x:c r="G333" s="54" t="n">
        <x:v>15000</x:v>
      </x:c>
      <x:c r="H333" s="54" t="n">
        <x:v>120000</x:v>
      </x:c>
      <x:c r="I333" s="54" t="n">
        <x:f>IF(AND(ISNUMBER(F333),ISNUMBER(G333)),ROUND(F333*G333,0),H333)</x:f>
        <x:v>120000</x:v>
      </x:c>
      <x:c r="J333" s="54" t="n">
        <x:f>I333-H333</x:f>
        <x:v>0</x:v>
      </x:c>
      <x:c r="K333" s="51" t="str">
        <x:v>Материал</x:v>
      </x:c>
      <x:c r="L333" s="51" t="str">
        <x:f>IF(J333=0,"OK","Шалгах")</x:f>
        <x:v>OK</x:v>
      </x:c>
      <x:c r="M333" s="51" t="str">
        <x:v>Сантехник</x:v>
      </x:c>
      <x:c r="N333" s="51" t="n">
        <x:v>36</x:v>
      </x:c>
    </x:row>
    <x:row r="334">
      <x:c r="A334" s="51" t="str">
        <x:v>MAT-6R-0320</x:v>
      </x:c>
      <x:c r="B334" s="52" t="str">
        <x:v>Дотор халаалтын систем</x:v>
      </x:c>
      <x:c r="C334" s="52" t="str">
        <x:v>Переход /ган/Ф76/65</x:v>
      </x:c>
      <x:c r="D334" s="52" t="str"/>
      <x:c r="E334" s="52" t="str">
        <x:v>ш</x:v>
      </x:c>
      <x:c r="F334" s="53" t="n">
        <x:v>8</x:v>
      </x:c>
      <x:c r="G334" s="54" t="n">
        <x:v>11000</x:v>
      </x:c>
      <x:c r="H334" s="54" t="n">
        <x:v>88000</x:v>
      </x:c>
      <x:c r="I334" s="54" t="n">
        <x:f>IF(AND(ISNUMBER(F334),ISNUMBER(G334)),ROUND(F334*G334,0),H334)</x:f>
        <x:v>88000</x:v>
      </x:c>
      <x:c r="J334" s="54" t="n">
        <x:f>I334-H334</x:f>
        <x:v>0</x:v>
      </x:c>
      <x:c r="K334" s="51" t="str">
        <x:v>Материал</x:v>
      </x:c>
      <x:c r="L334" s="51" t="str">
        <x:f>IF(J334=0,"OK","Шалгах")</x:f>
        <x:v>OK</x:v>
      </x:c>
      <x:c r="M334" s="51" t="str">
        <x:v>Сантехник</x:v>
      </x:c>
      <x:c r="N334" s="51" t="n">
        <x:v>37</x:v>
      </x:c>
    </x:row>
    <x:row r="335">
      <x:c r="A335" s="51" t="str">
        <x:v>MAT-6R-0321</x:v>
      </x:c>
      <x:c r="B335" s="52" t="str">
        <x:v>Дотор халаалтын систем</x:v>
      </x:c>
      <x:c r="C335" s="52" t="str">
        <x:v>Переход /ган/Ф65/50</x:v>
      </x:c>
      <x:c r="D335" s="52" t="str"/>
      <x:c r="E335" s="52" t="str">
        <x:v>ш</x:v>
      </x:c>
      <x:c r="F335" s="53" t="n">
        <x:v>8</x:v>
      </x:c>
      <x:c r="G335" s="54" t="n">
        <x:v>11000</x:v>
      </x:c>
      <x:c r="H335" s="54" t="n">
        <x:v>88000</x:v>
      </x:c>
      <x:c r="I335" s="54" t="n">
        <x:f>IF(AND(ISNUMBER(F335),ISNUMBER(G335)),ROUND(F335*G335,0),H335)</x:f>
        <x:v>88000</x:v>
      </x:c>
      <x:c r="J335" s="54" t="n">
        <x:f>I335-H335</x:f>
        <x:v>0</x:v>
      </x:c>
      <x:c r="K335" s="51" t="str">
        <x:v>Материал</x:v>
      </x:c>
      <x:c r="L335" s="51" t="str">
        <x:f>IF(J335=0,"OK","Шалгах")</x:f>
        <x:v>OK</x:v>
      </x:c>
      <x:c r="M335" s="51" t="str">
        <x:v>Сантехник</x:v>
      </x:c>
      <x:c r="N335" s="51" t="n">
        <x:v>38</x:v>
      </x:c>
    </x:row>
    <x:row r="336">
      <x:c r="A336" s="51" t="str">
        <x:v>MAT-6R-0322</x:v>
      </x:c>
      <x:c r="B336" s="52" t="str">
        <x:v>Дотор халаалтын систем</x:v>
      </x:c>
      <x:c r="C336" s="52" t="str">
        <x:v>Переход /ган/Ф50/40</x:v>
      </x:c>
      <x:c r="D336" s="52" t="str"/>
      <x:c r="E336" s="52" t="str">
        <x:v>ш</x:v>
      </x:c>
      <x:c r="F336" s="53" t="n">
        <x:v>8</x:v>
      </x:c>
      <x:c r="G336" s="54" t="n">
        <x:v>8000</x:v>
      </x:c>
      <x:c r="H336" s="54" t="n">
        <x:v>64000</x:v>
      </x:c>
      <x:c r="I336" s="54" t="n">
        <x:f>IF(AND(ISNUMBER(F336),ISNUMBER(G336)),ROUND(F336*G336,0),H336)</x:f>
        <x:v>64000</x:v>
      </x:c>
      <x:c r="J336" s="54" t="n">
        <x:f>I336-H336</x:f>
        <x:v>0</x:v>
      </x:c>
      <x:c r="K336" s="51" t="str">
        <x:v>Материал</x:v>
      </x:c>
      <x:c r="L336" s="51" t="str">
        <x:f>IF(J336=0,"OK","Шалгах")</x:f>
        <x:v>OK</x:v>
      </x:c>
      <x:c r="M336" s="51" t="str">
        <x:v>Сантехник</x:v>
      </x:c>
      <x:c r="N336" s="51" t="n">
        <x:v>39</x:v>
      </x:c>
    </x:row>
    <x:row r="337">
      <x:c r="A337" s="51" t="str">
        <x:v>MAT-6R-0323</x:v>
      </x:c>
      <x:c r="B337" s="52" t="str">
        <x:v>Дотор халаалтын систем</x:v>
      </x:c>
      <x:c r="C337" s="52" t="str">
        <x:v>Переход /ган/Ф50/25</x:v>
      </x:c>
      <x:c r="D337" s="52" t="str"/>
      <x:c r="E337" s="52" t="str">
        <x:v>ш</x:v>
      </x:c>
      <x:c r="F337" s="53" t="n">
        <x:v>34</x:v>
      </x:c>
      <x:c r="G337" s="54" t="n">
        <x:v>7000</x:v>
      </x:c>
      <x:c r="H337" s="54" t="n">
        <x:v>238000</x:v>
      </x:c>
      <x:c r="I337" s="54" t="n">
        <x:f>IF(AND(ISNUMBER(F337),ISNUMBER(G337)),ROUND(F337*G337,0),H337)</x:f>
        <x:v>238000</x:v>
      </x:c>
      <x:c r="J337" s="54" t="n">
        <x:f>I337-H337</x:f>
        <x:v>0</x:v>
      </x:c>
      <x:c r="K337" s="51" t="str">
        <x:v>Материал</x:v>
      </x:c>
      <x:c r="L337" s="51" t="str">
        <x:f>IF(J337=0,"OK","Шалгах")</x:f>
        <x:v>OK</x:v>
      </x:c>
      <x:c r="M337" s="51" t="str">
        <x:v>Сантехник</x:v>
      </x:c>
      <x:c r="N337" s="51" t="n">
        <x:v>40</x:v>
      </x:c>
    </x:row>
    <x:row r="338">
      <x:c r="A338" s="51" t="str">
        <x:v>MAT-6R-0324</x:v>
      </x:c>
      <x:c r="B338" s="52" t="str">
        <x:v>Дотор халаалтын систем</x:v>
      </x:c>
      <x:c r="C338" s="52" t="str">
        <x:v>Переход /ган/Ф40/32</x:v>
      </x:c>
      <x:c r="D338" s="52" t="str"/>
      <x:c r="E338" s="52" t="str">
        <x:v>ш</x:v>
      </x:c>
      <x:c r="F338" s="53" t="n">
        <x:v>4</x:v>
      </x:c>
      <x:c r="G338" s="54" t="n">
        <x:v>7000</x:v>
      </x:c>
      <x:c r="H338" s="54" t="n">
        <x:v>28000</x:v>
      </x:c>
      <x:c r="I338" s="54" t="n">
        <x:f>IF(AND(ISNUMBER(F338),ISNUMBER(G338)),ROUND(F338*G338,0),H338)</x:f>
        <x:v>28000</x:v>
      </x:c>
      <x:c r="J338" s="54" t="n">
        <x:f>I338-H338</x:f>
        <x:v>0</x:v>
      </x:c>
      <x:c r="K338" s="51" t="str">
        <x:v>Материал</x:v>
      </x:c>
      <x:c r="L338" s="51" t="str">
        <x:f>IF(J338=0,"OK","Шалгах")</x:f>
        <x:v>OK</x:v>
      </x:c>
      <x:c r="M338" s="51" t="str">
        <x:v>Сантехник</x:v>
      </x:c>
      <x:c r="N338" s="51" t="n">
        <x:v>41</x:v>
      </x:c>
    </x:row>
    <x:row r="339">
      <x:c r="A339" s="51" t="str">
        <x:v>MAT-6R-0325</x:v>
      </x:c>
      <x:c r="B339" s="52" t="str">
        <x:v>Дотор халаалтын систем</x:v>
      </x:c>
      <x:c r="C339" s="52" t="str">
        <x:v>Переход /ган/Ф32/25</x:v>
      </x:c>
      <x:c r="D339" s="52" t="str"/>
      <x:c r="E339" s="52" t="str">
        <x:v>ш</x:v>
      </x:c>
      <x:c r="F339" s="53" t="n">
        <x:v>4</x:v>
      </x:c>
      <x:c r="G339" s="54" t="n">
        <x:v>6000</x:v>
      </x:c>
      <x:c r="H339" s="54" t="n">
        <x:v>24000</x:v>
      </x:c>
      <x:c r="I339" s="54" t="n">
        <x:f>IF(AND(ISNUMBER(F339),ISNUMBER(G339)),ROUND(F339*G339,0),H339)</x:f>
        <x:v>24000</x:v>
      </x:c>
      <x:c r="J339" s="54" t="n">
        <x:f>I339-H339</x:f>
        <x:v>0</x:v>
      </x:c>
      <x:c r="K339" s="51" t="str">
        <x:v>Материал</x:v>
      </x:c>
      <x:c r="L339" s="51" t="str">
        <x:f>IF(J339=0,"OK","Шалгах")</x:f>
        <x:v>OK</x:v>
      </x:c>
      <x:c r="M339" s="51" t="str">
        <x:v>Сантехник</x:v>
      </x:c>
      <x:c r="N339" s="51" t="n">
        <x:v>42</x:v>
      </x:c>
    </x:row>
    <x:row r="340">
      <x:c r="A340" s="51" t="str">
        <x:v>MAT-6R-0326</x:v>
      </x:c>
      <x:c r="B340" s="52" t="str">
        <x:v>Дотор халаалтын систем</x:v>
      </x:c>
      <x:c r="C340" s="52" t="str">
        <x:v>PVC хоолой Ф20</x:v>
      </x:c>
      <x:c r="D340" s="52" t="str"/>
      <x:c r="E340" s="52" t="str">
        <x:v>У/м</x:v>
      </x:c>
      <x:c r="F340" s="53" t="n">
        <x:v>3700</x:v>
      </x:c>
      <x:c r="G340" s="54" t="n">
        <x:v>4900</x:v>
      </x:c>
      <x:c r="H340" s="54" t="n">
        <x:v>18130000</x:v>
      </x:c>
      <x:c r="I340" s="54" t="n">
        <x:f>IF(AND(ISNUMBER(F340),ISNUMBER(G340)),ROUND(F340*G340,0),H340)</x:f>
        <x:v>18130000</x:v>
      </x:c>
      <x:c r="J340" s="54" t="n">
        <x:f>I340-H340</x:f>
        <x:v>0</x:v>
      </x:c>
      <x:c r="K340" s="51" t="str">
        <x:v>Материал</x:v>
      </x:c>
      <x:c r="L340" s="51" t="str">
        <x:f>IF(J340=0,"OK","Шалгах")</x:f>
        <x:v>OK</x:v>
      </x:c>
      <x:c r="M340" s="51" t="str">
        <x:v>Сантехник</x:v>
      </x:c>
      <x:c r="N340" s="51" t="n">
        <x:v>43</x:v>
      </x:c>
    </x:row>
    <x:row r="341">
      <x:c r="A341" s="51" t="str">
        <x:v>MAT-6R-0327</x:v>
      </x:c>
      <x:c r="B341" s="52" t="str">
        <x:v>Дотор халаалтын систем</x:v>
      </x:c>
      <x:c r="C341" s="52" t="str">
        <x:v>PVC хоолой Ф16</x:v>
      </x:c>
      <x:c r="D341" s="52" t="str"/>
      <x:c r="E341" s="52" t="str">
        <x:v>У/м</x:v>
      </x:c>
      <x:c r="F341" s="53" t="n">
        <x:v>13000</x:v>
      </x:c>
      <x:c r="G341" s="54" t="n">
        <x:v>3450</x:v>
      </x:c>
      <x:c r="H341" s="54" t="n">
        <x:v>44850000</x:v>
      </x:c>
      <x:c r="I341" s="54" t="n">
        <x:f>IF(AND(ISNUMBER(F341),ISNUMBER(G341)),ROUND(F341*G341,0),H341)</x:f>
        <x:v>44850000</x:v>
      </x:c>
      <x:c r="J341" s="54" t="n">
        <x:f>I341-H341</x:f>
        <x:v>0</x:v>
      </x:c>
      <x:c r="K341" s="51" t="str">
        <x:v>Материал</x:v>
      </x:c>
      <x:c r="L341" s="51" t="str">
        <x:f>IF(J341=0,"OK","Шалгах")</x:f>
        <x:v>OK</x:v>
      </x:c>
      <x:c r="M341" s="51" t="str">
        <x:v>Сантехник</x:v>
      </x:c>
      <x:c r="N341" s="51" t="n">
        <x:v>44</x:v>
      </x:c>
    </x:row>
    <x:row r="342">
      <x:c r="A342" s="51" t="str">
        <x:v>MAT-6R-0328</x:v>
      </x:c>
      <x:c r="B342" s="52" t="str">
        <x:v>Дотор халаалтын систем</x:v>
      </x:c>
      <x:c r="C342" s="52" t="str">
        <x:v>Хар хоолой Ф22</x:v>
      </x:c>
      <x:c r="D342" s="52" t="str"/>
      <x:c r="E342" s="52" t="str">
        <x:v>У/м</x:v>
      </x:c>
      <x:c r="F342" s="53" t="n">
        <x:v>10200</x:v>
      </x:c>
      <x:c r="G342" s="54" t="n">
        <x:v>330</x:v>
      </x:c>
      <x:c r="H342" s="54" t="n">
        <x:v>3366000</x:v>
      </x:c>
      <x:c r="I342" s="54" t="n">
        <x:f>IF(AND(ISNUMBER(F342),ISNUMBER(G342)),ROUND(F342*G342,0),H342)</x:f>
        <x:v>3366000</x:v>
      </x:c>
      <x:c r="J342" s="54" t="n">
        <x:f>I342-H342</x:f>
        <x:v>0</x:v>
      </x:c>
      <x:c r="K342" s="51" t="str">
        <x:v>Материал</x:v>
      </x:c>
      <x:c r="L342" s="51" t="str">
        <x:f>IF(J342=0,"OK","Шалгах")</x:f>
        <x:v>OK</x:v>
      </x:c>
      <x:c r="M342" s="51" t="str">
        <x:v>Сантехник</x:v>
      </x:c>
      <x:c r="N342" s="51" t="n">
        <x:v>45</x:v>
      </x:c>
    </x:row>
    <x:row r="343">
      <x:c r="A343" s="51" t="str">
        <x:v>MAT-6R-0329</x:v>
      </x:c>
      <x:c r="B343" s="52" t="str">
        <x:v>Дотор халаалтын систем</x:v>
      </x:c>
      <x:c r="C343" s="52" t="str">
        <x:v>Хар хоолой Ф28</x:v>
      </x:c>
      <x:c r="D343" s="52" t="str"/>
      <x:c r="E343" s="52" t="str">
        <x:v>У/м</x:v>
      </x:c>
      <x:c r="F343" s="53" t="n">
        <x:v>1700</x:v>
      </x:c>
      <x:c r="G343" s="54" t="n">
        <x:v>616</x:v>
      </x:c>
      <x:c r="H343" s="54" t="n">
        <x:v>1047200</x:v>
      </x:c>
      <x:c r="I343" s="54" t="n">
        <x:f>IF(AND(ISNUMBER(F343),ISNUMBER(G343)),ROUND(F343*G343,0),H343)</x:f>
        <x:v>1047200</x:v>
      </x:c>
      <x:c r="J343" s="54" t="n">
        <x:f>I343-H343</x:f>
        <x:v>0</x:v>
      </x:c>
      <x:c r="K343" s="51" t="str">
        <x:v>Материал</x:v>
      </x:c>
      <x:c r="L343" s="51" t="str">
        <x:f>IF(J343=0,"OK","Шалгах")</x:f>
        <x:v>OK</x:v>
      </x:c>
      <x:c r="M343" s="51" t="str">
        <x:v>Сантехник</x:v>
      </x:c>
      <x:c r="N343" s="51" t="n">
        <x:v>46</x:v>
      </x:c>
    </x:row>
    <x:row r="344">
      <x:c r="A344" s="51" t="str">
        <x:v>MAT-6R-0330</x:v>
      </x:c>
      <x:c r="B344" s="52" t="str">
        <x:v>Дотор халаалтын систем</x:v>
      </x:c>
      <x:c r="C344" s="52" t="str">
        <x:v>Угольник5*5</x:v>
      </x:c>
      <x:c r="D344" s="52" t="str"/>
      <x:c r="E344" s="52" t="str">
        <x:v>У/м</x:v>
      </x:c>
      <x:c r="F344" s="53" t="n">
        <x:v>30</x:v>
      </x:c>
      <x:c r="G344" s="54" t="n">
        <x:v>6600</x:v>
      </x:c>
      <x:c r="H344" s="54" t="n">
        <x:v>198000</x:v>
      </x:c>
      <x:c r="I344" s="54" t="n">
        <x:f>IF(AND(ISNUMBER(F344),ISNUMBER(G344)),ROUND(F344*G344,0),H344)</x:f>
        <x:v>198000</x:v>
      </x:c>
      <x:c r="J344" s="54" t="n">
        <x:f>I344-H344</x:f>
        <x:v>0</x:v>
      </x:c>
      <x:c r="K344" s="51" t="str">
        <x:v>Материал</x:v>
      </x:c>
      <x:c r="L344" s="51" t="str">
        <x:f>IF(J344=0,"OK","Шалгах")</x:f>
        <x:v>OK</x:v>
      </x:c>
      <x:c r="M344" s="51" t="str">
        <x:v>Сантехник</x:v>
      </x:c>
      <x:c r="N344" s="51" t="n">
        <x:v>47</x:v>
      </x:c>
    </x:row>
    <x:row r="345">
      <x:c r="A345" s="51" t="str">
        <x:v>MAT-6R-0331</x:v>
      </x:c>
      <x:c r="B345" s="52" t="str">
        <x:v>Дотор халаалтын систем</x:v>
      </x:c>
      <x:c r="C345" s="52" t="str">
        <x:v>Угольник2*2</x:v>
      </x:c>
      <x:c r="D345" s="52" t="str"/>
      <x:c r="E345" s="52" t="str">
        <x:v>У/м</x:v>
      </x:c>
      <x:c r="F345" s="53" t="n">
        <x:v>18</x:v>
      </x:c>
      <x:c r="G345" s="54" t="n">
        <x:v>2700</x:v>
      </x:c>
      <x:c r="H345" s="54" t="n">
        <x:v>48600</x:v>
      </x:c>
      <x:c r="I345" s="54" t="n">
        <x:f>IF(AND(ISNUMBER(F345),ISNUMBER(G345)),ROUND(F345*G345,0),H345)</x:f>
        <x:v>48600</x:v>
      </x:c>
      <x:c r="J345" s="54" t="n">
        <x:f>I345-H345</x:f>
        <x:v>0</x:v>
      </x:c>
      <x:c r="K345" s="51" t="str">
        <x:v>Материал</x:v>
      </x:c>
      <x:c r="L345" s="51" t="str">
        <x:f>IF(J345=0,"OK","Шалгах")</x:f>
        <x:v>OK</x:v>
      </x:c>
      <x:c r="M345" s="51" t="str">
        <x:v>Сантехник</x:v>
      </x:c>
      <x:c r="N345" s="51" t="n">
        <x:v>48</x:v>
      </x:c>
    </x:row>
    <x:row r="346">
      <x:c r="A346" s="51" t="str">
        <x:v>MAT-6R-0332</x:v>
      </x:c>
      <x:c r="B346" s="52" t="str">
        <x:v>Дотор халаалтын систем</x:v>
      </x:c>
      <x:c r="C346" s="52" t="str">
        <x:v>Заглужка /ган/Ф50</x:v>
      </x:c>
      <x:c r="D346" s="52" t="str"/>
      <x:c r="E346" s="52" t="str">
        <x:v>ш</x:v>
      </x:c>
      <x:c r="F346" s="53" t="n">
        <x:v>34</x:v>
      </x:c>
      <x:c r="G346" s="54" t="n">
        <x:v>6000</x:v>
      </x:c>
      <x:c r="H346" s="54" t="n">
        <x:v>204000</x:v>
      </x:c>
      <x:c r="I346" s="54" t="n">
        <x:f>IF(AND(ISNUMBER(F346),ISNUMBER(G346)),ROUND(F346*G346,0),H346)</x:f>
        <x:v>204000</x:v>
      </x:c>
      <x:c r="J346" s="54" t="n">
        <x:f>I346-H346</x:f>
        <x:v>0</x:v>
      </x:c>
      <x:c r="K346" s="51" t="str">
        <x:v>Материал</x:v>
      </x:c>
      <x:c r="L346" s="51" t="str">
        <x:f>IF(J346=0,"OK","Шалгах")</x:f>
        <x:v>OK</x:v>
      </x:c>
      <x:c r="M346" s="51" t="str">
        <x:v>Сантехник</x:v>
      </x:c>
      <x:c r="N346" s="51" t="n">
        <x:v>49</x:v>
      </x:c>
    </x:row>
    <x:row r="347">
      <x:c r="A347" s="51" t="str">
        <x:v>MAT-6R-0333</x:v>
      </x:c>
      <x:c r="B347" s="52" t="str">
        <x:v>Дотор халаалтын систем</x:v>
      </x:c>
      <x:c r="C347" s="52" t="str">
        <x:v>Заглужка /ган/Ф159</x:v>
      </x:c>
      <x:c r="D347" s="52" t="str"/>
      <x:c r="E347" s="52" t="str">
        <x:v>ш</x:v>
      </x:c>
      <x:c r="F347" s="53" t="n">
        <x:v>4</x:v>
      </x:c>
      <x:c r="G347" s="54" t="n">
        <x:v>36000</x:v>
      </x:c>
      <x:c r="H347" s="54" t="n">
        <x:v>144000</x:v>
      </x:c>
      <x:c r="I347" s="54" t="n">
        <x:f>IF(AND(ISNUMBER(F347),ISNUMBER(G347)),ROUND(F347*G347,0),H347)</x:f>
        <x:v>144000</x:v>
      </x:c>
      <x:c r="J347" s="54" t="n">
        <x:f>I347-H347</x:f>
        <x:v>0</x:v>
      </x:c>
      <x:c r="K347" s="51" t="str">
        <x:v>Материал</x:v>
      </x:c>
      <x:c r="L347" s="51" t="str">
        <x:f>IF(J347=0,"OK","Шалгах")</x:f>
        <x:v>OK</x:v>
      </x:c>
      <x:c r="M347" s="51" t="str">
        <x:v>Сантехник</x:v>
      </x:c>
      <x:c r="N347" s="51" t="n">
        <x:v>50</x:v>
      </x:c>
    </x:row>
    <x:row r="348">
      <x:c r="A348" s="51" t="str">
        <x:v>MAT-6R-0334</x:v>
      </x:c>
      <x:c r="B348" s="52" t="str">
        <x:v>Дотор халаалтын систем</x:v>
      </x:c>
      <x:c r="C348" s="52" t="str">
        <x:v>Муфть /ган/Ф15</x:v>
      </x:c>
      <x:c r="D348" s="52" t="str"/>
      <x:c r="E348" s="52" t="str">
        <x:v>ш</x:v>
      </x:c>
      <x:c r="F348" s="53" t="n">
        <x:v>11</x:v>
      </x:c>
      <x:c r="G348" s="54" t="n">
        <x:v>2200</x:v>
      </x:c>
      <x:c r="H348" s="54" t="n">
        <x:v>24200</x:v>
      </x:c>
      <x:c r="I348" s="54" t="n">
        <x:f>IF(AND(ISNUMBER(F348),ISNUMBER(G348)),ROUND(F348*G348,0),H348)</x:f>
        <x:v>24200</x:v>
      </x:c>
      <x:c r="J348" s="54" t="n">
        <x:f>I348-H348</x:f>
        <x:v>0</x:v>
      </x:c>
      <x:c r="K348" s="51" t="str">
        <x:v>Материал</x:v>
      </x:c>
      <x:c r="L348" s="51" t="str">
        <x:f>IF(J348=0,"OK","Шалгах")</x:f>
        <x:v>OK</x:v>
      </x:c>
      <x:c r="M348" s="51" t="str">
        <x:v>Сантехник</x:v>
      </x:c>
      <x:c r="N348" s="51" t="n">
        <x:v>51</x:v>
      </x:c>
    </x:row>
    <x:row r="349">
      <x:c r="A349" s="51" t="str">
        <x:v>MAT-6R-0335</x:v>
      </x:c>
      <x:c r="B349" s="52" t="str">
        <x:v>Дотор халаалтын систем</x:v>
      </x:c>
      <x:c r="C349" s="52" t="str">
        <x:v>Өгөх хаалт Ф15</x:v>
      </x:c>
      <x:c r="D349" s="52" t="str"/>
      <x:c r="E349" s="52" t="str">
        <x:v>ш</x:v>
      </x:c>
      <x:c r="F349" s="53" t="n">
        <x:v>18</x:v>
      </x:c>
      <x:c r="G349" s="54" t="n">
        <x:v>19000</x:v>
      </x:c>
      <x:c r="H349" s="54" t="n">
        <x:v>342000</x:v>
      </x:c>
      <x:c r="I349" s="54" t="n">
        <x:f>IF(AND(ISNUMBER(F349),ISNUMBER(G349)),ROUND(F349*G349,0),H349)</x:f>
        <x:v>342000</x:v>
      </x:c>
      <x:c r="J349" s="54" t="n">
        <x:f>I349-H349</x:f>
        <x:v>0</x:v>
      </x:c>
      <x:c r="K349" s="51" t="str">
        <x:v>Материал</x:v>
      </x:c>
      <x:c r="L349" s="51" t="str">
        <x:f>IF(J349=0,"OK","Шалгах")</x:f>
        <x:v>OK</x:v>
      </x:c>
      <x:c r="M349" s="51" t="str">
        <x:v>Сантехник</x:v>
      </x:c>
      <x:c r="N349" s="51" t="n">
        <x:v>52</x:v>
      </x:c>
    </x:row>
    <x:row r="350">
      <x:c r="A350" s="51" t="str">
        <x:v>MAT-6R-0336</x:v>
      </x:c>
      <x:c r="B350" s="52" t="str">
        <x:v>Дотор халаалтын систем</x:v>
      </x:c>
      <x:c r="C350" s="52" t="str">
        <x:v>Буцах хаалт Ф15</x:v>
      </x:c>
      <x:c r="D350" s="52" t="str"/>
      <x:c r="E350" s="52" t="str">
        <x:v>ш</x:v>
      </x:c>
      <x:c r="F350" s="53" t="n">
        <x:v>18</x:v>
      </x:c>
      <x:c r="G350" s="54" t="n">
        <x:v>18000</x:v>
      </x:c>
      <x:c r="H350" s="54" t="n">
        <x:v>324000</x:v>
      </x:c>
      <x:c r="I350" s="54" t="n">
        <x:f>IF(AND(ISNUMBER(F350),ISNUMBER(G350)),ROUND(F350*G350,0),H350)</x:f>
        <x:v>324000</x:v>
      </x:c>
      <x:c r="J350" s="54" t="n">
        <x:f>I350-H350</x:f>
        <x:v>0</x:v>
      </x:c>
      <x:c r="K350" s="51" t="str">
        <x:v>Материал</x:v>
      </x:c>
      <x:c r="L350" s="51" t="str">
        <x:f>IF(J350=0,"OK","Шалгах")</x:f>
        <x:v>OK</x:v>
      </x:c>
      <x:c r="M350" s="51" t="str">
        <x:v>Сантехник</x:v>
      </x:c>
      <x:c r="N350" s="51" t="n">
        <x:v>53</x:v>
      </x:c>
    </x:row>
    <x:row r="351">
      <x:c r="A351" s="51" t="str">
        <x:v>MAT-6R-0337</x:v>
      </x:c>
      <x:c r="B351" s="52" t="str">
        <x:v>Дотор халаалтын систем</x:v>
      </x:c>
      <x:c r="C351" s="52" t="str">
        <x:v>Хий авагч Ф15</x:v>
      </x:c>
      <x:c r="D351" s="52" t="str"/>
      <x:c r="E351" s="52" t="str">
        <x:v>ш</x:v>
      </x:c>
      <x:c r="F351" s="53" t="n">
        <x:v>11</x:v>
      </x:c>
      <x:c r="G351" s="54" t="n">
        <x:v>24000</x:v>
      </x:c>
      <x:c r="H351" s="54" t="n">
        <x:v>264000</x:v>
      </x:c>
      <x:c r="I351" s="54" t="n">
        <x:f>IF(AND(ISNUMBER(F351),ISNUMBER(G351)),ROUND(F351*G351,0),H351)</x:f>
        <x:v>264000</x:v>
      </x:c>
      <x:c r="J351" s="54" t="n">
        <x:f>I351-H351</x:f>
        <x:v>0</x:v>
      </x:c>
      <x:c r="K351" s="51" t="str">
        <x:v>Материал</x:v>
      </x:c>
      <x:c r="L351" s="51" t="str">
        <x:f>IF(J351=0,"OK","Шалгах")</x:f>
        <x:v>OK</x:v>
      </x:c>
      <x:c r="M351" s="51" t="str">
        <x:v>Сантехник</x:v>
      </x:c>
      <x:c r="N351" s="51" t="n">
        <x:v>54</x:v>
      </x:c>
    </x:row>
    <x:row r="352">
      <x:c r="A352" s="51" t="str">
        <x:v>MAT-6R-0338</x:v>
      </x:c>
      <x:c r="B352" s="52" t="str">
        <x:v>Дотор халаалтын систем</x:v>
      </x:c>
      <x:c r="C352" s="52" t="str">
        <x:v>U хомут Ф65</x:v>
      </x:c>
      <x:c r="D352" s="52" t="str"/>
      <x:c r="E352" s="52" t="str">
        <x:v>ш</x:v>
      </x:c>
      <x:c r="F352" s="53" t="n">
        <x:v>50</x:v>
      </x:c>
      <x:c r="G352" s="54" t="n">
        <x:v>3500</x:v>
      </x:c>
      <x:c r="H352" s="54" t="n">
        <x:v>175000</x:v>
      </x:c>
      <x:c r="I352" s="54" t="n">
        <x:f>IF(AND(ISNUMBER(F352),ISNUMBER(G352)),ROUND(F352*G352,0),H352)</x:f>
        <x:v>175000</x:v>
      </x:c>
      <x:c r="J352" s="54" t="n">
        <x:f>I352-H352</x:f>
        <x:v>0</x:v>
      </x:c>
      <x:c r="K352" s="51" t="str">
        <x:v>Материал</x:v>
      </x:c>
      <x:c r="L352" s="51" t="str">
        <x:f>IF(J352=0,"OK","Шалгах")</x:f>
        <x:v>OK</x:v>
      </x:c>
      <x:c r="M352" s="51" t="str">
        <x:v>Сантехник</x:v>
      </x:c>
      <x:c r="N352" s="51" t="n">
        <x:v>55</x:v>
      </x:c>
    </x:row>
    <x:row r="353">
      <x:c r="A353" s="51" t="str">
        <x:v>MAT-6R-0339</x:v>
      </x:c>
      <x:c r="B353" s="52" t="str">
        <x:v>Дотор халаалтын систем</x:v>
      </x:c>
      <x:c r="C353" s="52" t="str">
        <x:v>U хомут Ф50</x:v>
      </x:c>
      <x:c r="D353" s="52" t="str"/>
      <x:c r="E353" s="52" t="str">
        <x:v>ш</x:v>
      </x:c>
      <x:c r="F353" s="53" t="n">
        <x:v>25</x:v>
      </x:c>
      <x:c r="G353" s="54" t="n">
        <x:v>3400</x:v>
      </x:c>
      <x:c r="H353" s="54" t="n">
        <x:v>85000</x:v>
      </x:c>
      <x:c r="I353" s="54" t="n">
        <x:f>IF(AND(ISNUMBER(F353),ISNUMBER(G353)),ROUND(F353*G353,0),H353)</x:f>
        <x:v>85000</x:v>
      </x:c>
      <x:c r="J353" s="54" t="n">
        <x:f>I353-H353</x:f>
        <x:v>0</x:v>
      </x:c>
      <x:c r="K353" s="51" t="str">
        <x:v>Материал</x:v>
      </x:c>
      <x:c r="L353" s="51" t="str">
        <x:f>IF(J353=0,"OK","Шалгах")</x:f>
        <x:v>OK</x:v>
      </x:c>
      <x:c r="M353" s="51" t="str">
        <x:v>Сантехник</x:v>
      </x:c>
      <x:c r="N353" s="51" t="n">
        <x:v>56</x:v>
      </x:c>
    </x:row>
    <x:row r="354">
      <x:c r="A354" s="51" t="str">
        <x:v>MAT-6R-0340</x:v>
      </x:c>
      <x:c r="B354" s="52" t="str">
        <x:v>Дотор халаалтын систем</x:v>
      </x:c>
      <x:c r="C354" s="52" t="str">
        <x:v>U хомут Ф40</x:v>
      </x:c>
      <x:c r="D354" s="52" t="str"/>
      <x:c r="E354" s="52" t="str">
        <x:v>ш</x:v>
      </x:c>
      <x:c r="F354" s="53" t="n">
        <x:v>14</x:v>
      </x:c>
      <x:c r="G354" s="54" t="n">
        <x:v>3300</x:v>
      </x:c>
      <x:c r="H354" s="54" t="n">
        <x:v>46200</x:v>
      </x:c>
      <x:c r="I354" s="54" t="n">
        <x:f>IF(AND(ISNUMBER(F354),ISNUMBER(G354)),ROUND(F354*G354,0),H354)</x:f>
        <x:v>46200</x:v>
      </x:c>
      <x:c r="J354" s="54" t="n">
        <x:f>I354-H354</x:f>
        <x:v>0</x:v>
      </x:c>
      <x:c r="K354" s="51" t="str">
        <x:v>Материал</x:v>
      </x:c>
      <x:c r="L354" s="51" t="str">
        <x:f>IF(J354=0,"OK","Шалгах")</x:f>
        <x:v>OK</x:v>
      </x:c>
      <x:c r="M354" s="51" t="str">
        <x:v>Сантехник</x:v>
      </x:c>
      <x:c r="N354" s="51" t="n">
        <x:v>57</x:v>
      </x:c>
    </x:row>
    <x:row r="355">
      <x:c r="A355" s="51" t="str">
        <x:v>MAT-6R-0341</x:v>
      </x:c>
      <x:c r="B355" s="52" t="str">
        <x:v>Дотор халаалтын систем</x:v>
      </x:c>
      <x:c r="C355" s="52" t="str">
        <x:v>U хомут Ф32</x:v>
      </x:c>
      <x:c r="D355" s="52" t="str"/>
      <x:c r="E355" s="52" t="str">
        <x:v>ш</x:v>
      </x:c>
      <x:c r="F355" s="53" t="n">
        <x:v>12</x:v>
      </x:c>
      <x:c r="G355" s="54" t="n">
        <x:v>2600</x:v>
      </x:c>
      <x:c r="H355" s="54" t="n">
        <x:v>31200</x:v>
      </x:c>
      <x:c r="I355" s="54" t="n">
        <x:f>IF(AND(ISNUMBER(F355),ISNUMBER(G355)),ROUND(F355*G355,0),H355)</x:f>
        <x:v>31200</x:v>
      </x:c>
      <x:c r="J355" s="54" t="n">
        <x:f>I355-H355</x:f>
        <x:v>0</x:v>
      </x:c>
      <x:c r="K355" s="51" t="str">
        <x:v>Материал</x:v>
      </x:c>
      <x:c r="L355" s="51" t="str">
        <x:f>IF(J355=0,"OK","Шалгах")</x:f>
        <x:v>OK</x:v>
      </x:c>
      <x:c r="M355" s="51" t="str">
        <x:v>Сантехник</x:v>
      </x:c>
      <x:c r="N355" s="51" t="n">
        <x:v>58</x:v>
      </x:c>
    </x:row>
    <x:row r="356">
      <x:c r="A356" s="51" t="str">
        <x:v>MAT-6R-0342</x:v>
      </x:c>
      <x:c r="B356" s="52" t="str">
        <x:v>Дотор халаалтын систем</x:v>
      </x:c>
      <x:c r="C356" s="52" t="str">
        <x:v>U хомут Ф25</x:v>
      </x:c>
      <x:c r="D356" s="52" t="str"/>
      <x:c r="E356" s="52" t="str">
        <x:v>ш</x:v>
      </x:c>
      <x:c r="F356" s="53" t="n">
        <x:v>16</x:v>
      </x:c>
      <x:c r="G356" s="54" t="n">
        <x:v>2400</x:v>
      </x:c>
      <x:c r="H356" s="54" t="n">
        <x:v>38400</x:v>
      </x:c>
      <x:c r="I356" s="54" t="n">
        <x:f>IF(AND(ISNUMBER(F356),ISNUMBER(G356)),ROUND(F356*G356,0),H356)</x:f>
        <x:v>38400</x:v>
      </x:c>
      <x:c r="J356" s="54" t="n">
        <x:f>I356-H356</x:f>
        <x:v>0</x:v>
      </x:c>
      <x:c r="K356" s="51" t="str">
        <x:v>Материал</x:v>
      </x:c>
      <x:c r="L356" s="51" t="str">
        <x:f>IF(J356=0,"OK","Шалгах")</x:f>
        <x:v>OK</x:v>
      </x:c>
      <x:c r="M356" s="51" t="str">
        <x:v>Сантехник</x:v>
      </x:c>
      <x:c r="N356" s="51" t="n">
        <x:v>59</x:v>
      </x:c>
    </x:row>
    <x:row r="357">
      <x:c r="A357" s="51" t="str">
        <x:v>MAT-6R-0343</x:v>
      </x:c>
      <x:c r="B357" s="52" t="str">
        <x:v>Дотор халаалтын систем</x:v>
      </x:c>
      <x:c r="C357" s="52" t="str">
        <x:v>Өнгийн тууз Улаан</x:v>
      </x:c>
      <x:c r="D357" s="52" t="str"/>
      <x:c r="E357" s="52" t="str">
        <x:v>ш</x:v>
      </x:c>
      <x:c r="F357" s="53" t="n">
        <x:v>100</x:v>
      </x:c>
      <x:c r="G357" s="54" t="n">
        <x:v>4400</x:v>
      </x:c>
      <x:c r="H357" s="54" t="n">
        <x:v>440000</x:v>
      </x:c>
      <x:c r="I357" s="54" t="n">
        <x:f>IF(AND(ISNUMBER(F357),ISNUMBER(G357)),ROUND(F357*G357,0),H357)</x:f>
        <x:v>440000</x:v>
      </x:c>
      <x:c r="J357" s="54" t="n">
        <x:f>I357-H357</x:f>
        <x:v>0</x:v>
      </x:c>
      <x:c r="K357" s="51" t="str">
        <x:v>Материал</x:v>
      </x:c>
      <x:c r="L357" s="51" t="str">
        <x:f>IF(J357=0,"OK","Шалгах")</x:f>
        <x:v>OK</x:v>
      </x:c>
      <x:c r="M357" s="51" t="str">
        <x:v>Сантехник</x:v>
      </x:c>
      <x:c r="N357" s="51" t="n">
        <x:v>60</x:v>
      </x:c>
    </x:row>
    <x:row r="358">
      <x:c r="A358" s="51" t="str">
        <x:v>MAT-6R-0344</x:v>
      </x:c>
      <x:c r="B358" s="52" t="str">
        <x:v>Дотор халаалтын систем</x:v>
      </x:c>
      <x:c r="C358" s="52" t="str">
        <x:v>Өнгийн тууз ногоон</x:v>
      </x:c>
      <x:c r="D358" s="52" t="str"/>
      <x:c r="E358" s="52" t="str">
        <x:v>ш</x:v>
      </x:c>
      <x:c r="F358" s="53" t="n">
        <x:v>100</x:v>
      </x:c>
      <x:c r="G358" s="54" t="n">
        <x:v>4400</x:v>
      </x:c>
      <x:c r="H358" s="54" t="n">
        <x:v>440000</x:v>
      </x:c>
      <x:c r="I358" s="54" t="n">
        <x:f>IF(AND(ISNUMBER(F358),ISNUMBER(G358)),ROUND(F358*G358,0),H358)</x:f>
        <x:v>440000</x:v>
      </x:c>
      <x:c r="J358" s="54" t="n">
        <x:f>I358-H358</x:f>
        <x:v>0</x:v>
      </x:c>
      <x:c r="K358" s="51" t="str">
        <x:v>Материал</x:v>
      </x:c>
      <x:c r="L358" s="51" t="str">
        <x:f>IF(J358=0,"OK","Шалгах")</x:f>
        <x:v>OK</x:v>
      </x:c>
      <x:c r="M358" s="51" t="str">
        <x:v>Сантехник</x:v>
      </x:c>
      <x:c r="N358" s="51" t="n">
        <x:v>61</x:v>
      </x:c>
    </x:row>
    <x:row r="359">
      <x:c r="A359" s="51" t="str">
        <x:v>MAT-6R-0345</x:v>
      </x:c>
      <x:c r="B359" s="52" t="str">
        <x:v>Дотор халаалтын систем</x:v>
      </x:c>
      <x:c r="C359" s="52" t="str">
        <x:v>Хоолойн дулаалга</x:v>
      </x:c>
      <x:c r="D359" s="52" t="str"/>
      <x:c r="E359" s="52" t="str">
        <x:v>боодол</x:v>
      </x:c>
      <x:c r="F359" s="53" t="n">
        <x:v>2</x:v>
      </x:c>
      <x:c r="G359" s="54" t="n">
        <x:v>20000</x:v>
      </x:c>
      <x:c r="H359" s="54" t="n">
        <x:v>40000</x:v>
      </x:c>
      <x:c r="I359" s="54" t="n">
        <x:f>IF(AND(ISNUMBER(F359),ISNUMBER(G359)),ROUND(F359*G359,0),H359)</x:f>
        <x:v>40000</x:v>
      </x:c>
      <x:c r="J359" s="54" t="n">
        <x:f>I359-H359</x:f>
        <x:v>0</x:v>
      </x:c>
      <x:c r="K359" s="51" t="str">
        <x:v>Материал</x:v>
      </x:c>
      <x:c r="L359" s="51" t="str">
        <x:f>IF(J359=0,"OK","Шалгах")</x:f>
        <x:v>OK</x:v>
      </x:c>
      <x:c r="M359" s="51" t="str">
        <x:v>Сантехник</x:v>
      </x:c>
      <x:c r="N359" s="51" t="n">
        <x:v>62</x:v>
      </x:c>
    </x:row>
    <x:row r="360">
      <x:c r="A360" s="51" t="str">
        <x:v>MAT-6R-0346</x:v>
      </x:c>
      <x:c r="B360" s="52" t="str">
        <x:v>Дотор халаалтын систем</x:v>
      </x:c>
      <x:c r="C360" s="52" t="str">
        <x:v>Будаг</x:v>
      </x:c>
      <x:c r="D360" s="52" t="str"/>
      <x:c r="E360" s="52" t="str">
        <x:v>литр</x:v>
      </x:c>
      <x:c r="F360" s="53" t="n">
        <x:v>40</x:v>
      </x:c>
      <x:c r="G360" s="54" t="n">
        <x:v>6500</x:v>
      </x:c>
      <x:c r="H360" s="54" t="n">
        <x:v>260000</x:v>
      </x:c>
      <x:c r="I360" s="54" t="n">
        <x:f>IF(AND(ISNUMBER(F360),ISNUMBER(G360)),ROUND(F360*G360,0),H360)</x:f>
        <x:v>260000</x:v>
      </x:c>
      <x:c r="J360" s="54" t="n">
        <x:f>I360-H360</x:f>
        <x:v>0</x:v>
      </x:c>
      <x:c r="K360" s="51" t="str">
        <x:v>Материал</x:v>
      </x:c>
      <x:c r="L360" s="51" t="str">
        <x:f>IF(J360=0,"OK","Шалгах")</x:f>
        <x:v>OK</x:v>
      </x:c>
      <x:c r="M360" s="51" t="str">
        <x:v>Сантехник</x:v>
      </x:c>
      <x:c r="N360" s="51" t="n">
        <x:v>63</x:v>
      </x:c>
    </x:row>
    <x:row r="361">
      <x:c r="A361" s="51" t="str">
        <x:v>MAT-6R-0347</x:v>
      </x:c>
      <x:c r="B361" s="52" t="str">
        <x:v>Халаалтын босоо шугамын хуваарьлах Ф20/15 коллекторын тоо хэмжээ</x:v>
      </x:c>
      <x:c r="C361" s="52" t="str">
        <x:v>Коллектор 4 гаргалгаатай</x:v>
      </x:c>
      <x:c r="D361" s="52" t="str"/>
      <x:c r="E361" s="52" t="str">
        <x:v>ком</x:v>
      </x:c>
      <x:c r="F361" s="53" t="n">
        <x:v>39</x:v>
      </x:c>
      <x:c r="G361" s="54" t="n">
        <x:v>125000</x:v>
      </x:c>
      <x:c r="H361" s="54" t="n">
        <x:v>4875000</x:v>
      </x:c>
      <x:c r="I361" s="54" t="n">
        <x:f>IF(AND(ISNUMBER(F361),ISNUMBER(G361)),ROUND(F361*G361,0),H361)</x:f>
        <x:v>4875000</x:v>
      </x:c>
      <x:c r="J361" s="54" t="n">
        <x:f>I361-H361</x:f>
        <x:v>0</x:v>
      </x:c>
      <x:c r="K361" s="51" t="str">
        <x:v>Материал</x:v>
      </x:c>
      <x:c r="L361" s="51" t="str">
        <x:f>IF(J361=0,"OK","Шалгах")</x:f>
        <x:v>OK</x:v>
      </x:c>
      <x:c r="M361" s="51" t="str">
        <x:v>Сантехник</x:v>
      </x:c>
      <x:c r="N361" s="51" t="n">
        <x:v>65</x:v>
      </x:c>
    </x:row>
    <x:row r="362">
      <x:c r="A362" s="51" t="str">
        <x:v>MAT-6R-0348</x:v>
      </x:c>
      <x:c r="B362" s="52" t="str">
        <x:v>Халаалтын босоо шугамын хуваарьлах Ф20/15 коллекторын тоо хэмжээ</x:v>
      </x:c>
      <x:c r="C362" s="52" t="str">
        <x:v>Коллектор 3 гаргалгаатай</x:v>
      </x:c>
      <x:c r="D362" s="52" t="str"/>
      <x:c r="E362" s="52" t="str">
        <x:v>ком</x:v>
      </x:c>
      <x:c r="F362" s="53" t="n">
        <x:v>58</x:v>
      </x:c>
      <x:c r="G362" s="54" t="n">
        <x:v>92000</x:v>
      </x:c>
      <x:c r="H362" s="54" t="n">
        <x:v>5336000</x:v>
      </x:c>
      <x:c r="I362" s="54" t="n">
        <x:f>IF(AND(ISNUMBER(F362),ISNUMBER(G362)),ROUND(F362*G362,0),H362)</x:f>
        <x:v>5336000</x:v>
      </x:c>
      <x:c r="J362" s="54" t="n">
        <x:f>I362-H362</x:f>
        <x:v>0</x:v>
      </x:c>
      <x:c r="K362" s="51" t="str">
        <x:v>Материал</x:v>
      </x:c>
      <x:c r="L362" s="51" t="str">
        <x:f>IF(J362=0,"OK","Шалгах")</x:f>
        <x:v>OK</x:v>
      </x:c>
      <x:c r="M362" s="51" t="str">
        <x:v>Сантехник</x:v>
      </x:c>
      <x:c r="N362" s="51" t="n">
        <x:v>66</x:v>
      </x:c>
    </x:row>
    <x:row r="363">
      <x:c r="A363" s="51" t="str">
        <x:v>MAT-6R-0349</x:v>
      </x:c>
      <x:c r="B363" s="52" t="str">
        <x:v>Халаалтын босоо шугамын хуваарьлах Ф20/15 коллекторын тоо хэмжээ</x:v>
      </x:c>
      <x:c r="C363" s="52" t="str">
        <x:v>Коллектор 2 гаргалгаатай</x:v>
      </x:c>
      <x:c r="D363" s="52" t="str"/>
      <x:c r="E363" s="52" t="str">
        <x:v>ком</x:v>
      </x:c>
      <x:c r="F363" s="53" t="n">
        <x:v>31</x:v>
      </x:c>
      <x:c r="G363" s="54" t="n">
        <x:v>62000</x:v>
      </x:c>
      <x:c r="H363" s="54" t="n">
        <x:v>1922000</x:v>
      </x:c>
      <x:c r="I363" s="54" t="n">
        <x:f>IF(AND(ISNUMBER(F363),ISNUMBER(G363)),ROUND(F363*G363,0),H363)</x:f>
        <x:v>1922000</x:v>
      </x:c>
      <x:c r="J363" s="54" t="n">
        <x:f>I363-H363</x:f>
        <x:v>0</x:v>
      </x:c>
      <x:c r="K363" s="51" t="str">
        <x:v>Материал</x:v>
      </x:c>
      <x:c r="L363" s="51" t="str">
        <x:f>IF(J363=0,"OK","Шалгах")</x:f>
        <x:v>OK</x:v>
      </x:c>
      <x:c r="M363" s="51" t="str">
        <x:v>Сантехник</x:v>
      </x:c>
      <x:c r="N363" s="51" t="n">
        <x:v>67</x:v>
      </x:c>
    </x:row>
    <x:row r="364">
      <x:c r="A364" s="51" t="str">
        <x:v>MAT-6R-0350</x:v>
      </x:c>
      <x:c r="B364" s="52" t="str">
        <x:v>Халаалтын босоо шугамын хуваарьлах Ф20/15 коллекторын тоо хэмжээ</x:v>
      </x:c>
      <x:c r="C364" s="52" t="str">
        <x:v>Хаалт /булангийн/ Ф20</x:v>
      </x:c>
      <x:c r="D364" s="52" t="str"/>
      <x:c r="E364" s="52" t="str">
        <x:v>ш</x:v>
      </x:c>
      <x:c r="F364" s="53" t="n">
        <x:v>258</x:v>
      </x:c>
      <x:c r="G364" s="54" t="n">
        <x:v>30800.000000000004</x:v>
      </x:c>
      <x:c r="H364" s="54" t="n">
        <x:v>7946400</x:v>
      </x:c>
      <x:c r="I364" s="54" t="n">
        <x:f>IF(AND(ISNUMBER(F364),ISNUMBER(G364)),ROUND(F364*G364,0),H364)</x:f>
        <x:v>7946400</x:v>
      </x:c>
      <x:c r="J364" s="54" t="n">
        <x:f>I364-H364</x:f>
        <x:v>0</x:v>
      </x:c>
      <x:c r="K364" s="51" t="str">
        <x:v>Материал</x:v>
      </x:c>
      <x:c r="L364" s="51" t="str">
        <x:f>IF(J364=0,"OK","Шалгах")</x:f>
        <x:v>OK</x:v>
      </x:c>
      <x:c r="M364" s="51" t="str">
        <x:v>Сантехник</x:v>
      </x:c>
      <x:c r="N364" s="51" t="n">
        <x:v>68</x:v>
      </x:c>
    </x:row>
    <x:row r="365">
      <x:c r="A365" s="51" t="str">
        <x:v>MAT-6R-0351</x:v>
      </x:c>
      <x:c r="B365" s="52" t="str">
        <x:v>Халаалтын босоо шугамын хуваарьлах Ф20/15 коллекторын тоо хэмжээ</x:v>
      </x:c>
      <x:c r="C365" s="52" t="str">
        <x:v>Заглужка /эр/ Ф20</x:v>
      </x:c>
      <x:c r="D365" s="52" t="str"/>
      <x:c r="E365" s="52" t="str">
        <x:v>ш</x:v>
      </x:c>
      <x:c r="F365" s="53" t="n">
        <x:v>128</x:v>
      </x:c>
      <x:c r="G365" s="54" t="n">
        <x:v>3300.0000000000005</x:v>
      </x:c>
      <x:c r="H365" s="54" t="n">
        <x:v>422400</x:v>
      </x:c>
      <x:c r="I365" s="54" t="n">
        <x:f>IF(AND(ISNUMBER(F365),ISNUMBER(G365)),ROUND(F365*G365,0),H365)</x:f>
        <x:v>422400</x:v>
      </x:c>
      <x:c r="J365" s="54" t="n">
        <x:f>I365-H365</x:f>
        <x:v>0</x:v>
      </x:c>
      <x:c r="K365" s="51" t="str">
        <x:v>Материал</x:v>
      </x:c>
      <x:c r="L365" s="51" t="str">
        <x:f>IF(J365=0,"OK","Шалгах")</x:f>
        <x:v>OK</x:v>
      </x:c>
      <x:c r="M365" s="51" t="str">
        <x:v>Сантехник</x:v>
      </x:c>
      <x:c r="N365" s="51" t="n">
        <x:v>69</x:v>
      </x:c>
    </x:row>
    <x:row r="366">
      <x:c r="A366" s="51" t="str">
        <x:v>MAT-6R-0352</x:v>
      </x:c>
      <x:c r="B366" s="52" t="str">
        <x:v>Халаалтын босоо шугамын хуваарьлах Ф20/15 коллекторын тоо хэмжээ</x:v>
      </x:c>
      <x:c r="C366" s="52" t="str">
        <x:v>Заглужка /эм/ Ф20</x:v>
      </x:c>
      <x:c r="D366" s="52" t="str"/>
      <x:c r="E366" s="52" t="str">
        <x:v>ш</x:v>
      </x:c>
      <x:c r="F366" s="53" t="n">
        <x:v>126</x:v>
      </x:c>
      <x:c r="G366" s="54" t="n">
        <x:v>3300.0000000000005</x:v>
      </x:c>
      <x:c r="H366" s="54" t="n">
        <x:v>415800</x:v>
      </x:c>
      <x:c r="I366" s="54" t="n">
        <x:f>IF(AND(ISNUMBER(F366),ISNUMBER(G366)),ROUND(F366*G366,0),H366)</x:f>
        <x:v>415800</x:v>
      </x:c>
      <x:c r="J366" s="54" t="n">
        <x:f>I366-H366</x:f>
        <x:v>0</x:v>
      </x:c>
      <x:c r="K366" s="51" t="str">
        <x:v>Материал</x:v>
      </x:c>
      <x:c r="L366" s="51" t="str">
        <x:f>IF(J366=0,"OK","Шалгах")</x:f>
        <x:v>OK</x:v>
      </x:c>
      <x:c r="M366" s="51" t="str">
        <x:v>Сантехник</x:v>
      </x:c>
      <x:c r="N366" s="51" t="n">
        <x:v>70</x:v>
      </x:c>
    </x:row>
    <x:row r="367">
      <x:c r="A367" s="51" t="str">
        <x:v>MAT-6R-0353</x:v>
      </x:c>
      <x:c r="B367" s="52" t="str">
        <x:v>Халаалтын босоо шугамын хуваарьлах Ф20/15 коллекторын тоо хэмжээ</x:v>
      </x:c>
      <x:c r="C367" s="52" t="str">
        <x:v>Муфть Ф20 /чангалдаг/</x:v>
      </x:c>
      <x:c r="D367" s="52" t="str"/>
      <x:c r="E367" s="52" t="str">
        <x:v>ш</x:v>
      </x:c>
      <x:c r="F367" s="53" t="n">
        <x:v>128</x:v>
      </x:c>
      <x:c r="G367" s="54" t="n">
        <x:v>6050.000000000001</x:v>
      </x:c>
      <x:c r="H367" s="54" t="n">
        <x:v>774400</x:v>
      </x:c>
      <x:c r="I367" s="54" t="n">
        <x:f>IF(AND(ISNUMBER(F367),ISNUMBER(G367)),ROUND(F367*G367,0),H367)</x:f>
        <x:v>774400</x:v>
      </x:c>
      <x:c r="J367" s="54" t="n">
        <x:f>I367-H367</x:f>
        <x:v>0</x:v>
      </x:c>
      <x:c r="K367" s="51" t="str">
        <x:v>Материал</x:v>
      </x:c>
      <x:c r="L367" s="51" t="str">
        <x:f>IF(J367=0,"OK","Шалгах")</x:f>
        <x:v>OK</x:v>
      </x:c>
      <x:c r="M367" s="51" t="str">
        <x:v>Сантехник</x:v>
      </x:c>
      <x:c r="N367" s="51" t="n">
        <x:v>71</x:v>
      </x:c>
    </x:row>
    <x:row r="368">
      <x:c r="A368" s="51" t="str">
        <x:v>MAT-6R-0354</x:v>
      </x:c>
      <x:c r="B368" s="52" t="str">
        <x:v>Халаалтын босоо шугамын хуваарьлах Ф20/15 коллекторын тоо хэмжээ</x:v>
      </x:c>
      <x:c r="C368" s="52" t="str">
        <x:v>Сангийн олс</x:v>
      </x:c>
      <x:c r="D368" s="52" t="str"/>
      <x:c r="E368" s="52" t="str">
        <x:v>ш</x:v>
      </x:c>
      <x:c r="F368" s="53" t="n">
        <x:v>20</x:v>
      </x:c>
      <x:c r="G368" s="54" t="n">
        <x:v>4000</x:v>
      </x:c>
      <x:c r="H368" s="54" t="n">
        <x:v>80000</x:v>
      </x:c>
      <x:c r="I368" s="54" t="n">
        <x:f>IF(AND(ISNUMBER(F368),ISNUMBER(G368)),ROUND(F368*G368,0),H368)</x:f>
        <x:v>80000</x:v>
      </x:c>
      <x:c r="J368" s="54" t="n">
        <x:f>I368-H368</x:f>
        <x:v>0</x:v>
      </x:c>
      <x:c r="K368" s="51" t="str">
        <x:v>Материал</x:v>
      </x:c>
      <x:c r="L368" s="51" t="str">
        <x:f>IF(J368=0,"OK","Шалгах")</x:f>
        <x:v>OK</x:v>
      </x:c>
      <x:c r="M368" s="51" t="str">
        <x:v>Сантехник</x:v>
      </x:c>
      <x:c r="N368" s="51" t="n">
        <x:v>72</x:v>
      </x:c>
    </x:row>
    <x:row r="369">
      <x:c r="A369" s="51" t="str">
        <x:v>MAT-6R-0355</x:v>
      </x:c>
      <x:c r="B369" s="52" t="str">
        <x:v>Халаалтын босоо шугамын хуваарьлах Ф20/15 коллекторын тоо хэмжээ</x:v>
      </x:c>
      <x:c r="C369" s="52" t="str">
        <x:v>Сангийн лент</x:v>
      </x:c>
      <x:c r="D369" s="52" t="str"/>
      <x:c r="E369" s="52" t="str">
        <x:v>ш</x:v>
      </x:c>
      <x:c r="F369" s="53" t="n">
        <x:v>300</x:v>
      </x:c>
      <x:c r="G369" s="54" t="n">
        <x:v>4000</x:v>
      </x:c>
      <x:c r="H369" s="54" t="n">
        <x:v>1200000</x:v>
      </x:c>
      <x:c r="I369" s="54" t="n">
        <x:f>IF(AND(ISNUMBER(F369),ISNUMBER(G369)),ROUND(F369*G369,0),H369)</x:f>
        <x:v>1200000</x:v>
      </x:c>
      <x:c r="J369" s="54" t="n">
        <x:f>I369-H369</x:f>
        <x:v>0</x:v>
      </x:c>
      <x:c r="K369" s="51" t="str">
        <x:v>Материал</x:v>
      </x:c>
      <x:c r="L369" s="51" t="str">
        <x:f>IF(J369=0,"OK","Шалгах")</x:f>
        <x:v>OK</x:v>
      </x:c>
      <x:c r="M369" s="51" t="str">
        <x:v>Сантехник</x:v>
      </x:c>
      <x:c r="N369" s="51" t="n">
        <x:v>73</x:v>
      </x:c>
    </x:row>
    <x:row r="370">
      <x:c r="A370" s="51" t="str">
        <x:v>MAT-6R-0356</x:v>
      </x:c>
      <x:c r="B370" s="52" t="str">
        <x:v>Халаалтын босоо шугамын хуваарьлах Ф20/15 коллекторын тоо хэмжээ</x:v>
      </x:c>
      <x:c r="C370" s="52" t="str">
        <x:v>Коллекторын хайрцаг Хэмжээ</x:v>
      </x:c>
      <x:c r="D370" s="52" t="str"/>
      <x:c r="E370" s="52" t="str">
        <x:v>ш</x:v>
      </x:c>
      <x:c r="F370" s="53" t="n">
        <x:v>129</x:v>
      </x:c>
      <x:c r="G370" s="54" t="n">
        <x:v>66000</x:v>
      </x:c>
      <x:c r="H370" s="54" t="n">
        <x:v>8514000</x:v>
      </x:c>
      <x:c r="I370" s="54" t="n">
        <x:f>IF(AND(ISNUMBER(F370),ISNUMBER(G370)),ROUND(F370*G370,0),H370)</x:f>
        <x:v>8514000</x:v>
      </x:c>
      <x:c r="J370" s="54" t="n">
        <x:f>I370-H370</x:f>
        <x:v>0</x:v>
      </x:c>
      <x:c r="K370" s="51" t="str">
        <x:v>Материал</x:v>
      </x:c>
      <x:c r="L370" s="51" t="str">
        <x:f>IF(J370=0,"OK","Шалгах")</x:f>
        <x:v>OK</x:v>
      </x:c>
      <x:c r="M370" s="51" t="str">
        <x:v>Сантехник</x:v>
      </x:c>
      <x:c r="N370" s="51" t="n">
        <x:v>74</x:v>
      </x:c>
    </x:row>
    <x:row r="371">
      <x:c r="A371" s="51" t="str">
        <x:v>MAT-6R-0357</x:v>
      </x:c>
      <x:c r="B371" s="52" t="str">
        <x:v>Халаалтын босоо шугамын хуваарьлах Ф20/15 коллекторын тоо хэмжээ</x:v>
      </x:c>
      <x:c r="C371" s="52" t="str">
        <x:v>Галын гидрантын хайрцаг</x:v>
      </x:c>
      <x:c r="D371" s="52" t="str"/>
      <x:c r="E371" s="52" t="str">
        <x:v>ш</x:v>
      </x:c>
      <x:c r="F371" s="53" t="n">
        <x:v>17</x:v>
      </x:c>
      <x:c r="G371" s="54" t="n">
        <x:v>130000</x:v>
      </x:c>
      <x:c r="H371" s="54" t="n">
        <x:v>2210000</x:v>
      </x:c>
      <x:c r="I371" s="54" t="n">
        <x:f>IF(AND(ISNUMBER(F371),ISNUMBER(G371)),ROUND(F371*G371,0),H371)</x:f>
        <x:v>2210000</x:v>
      </x:c>
      <x:c r="J371" s="54" t="n">
        <x:f>I371-H371</x:f>
        <x:v>0</x:v>
      </x:c>
      <x:c r="K371" s="51" t="str">
        <x:v>Материал</x:v>
      </x:c>
      <x:c r="L371" s="51" t="str">
        <x:f>IF(J371=0,"OK","Шалгах")</x:f>
        <x:v>OK</x:v>
      </x:c>
      <x:c r="M371" s="51" t="str">
        <x:v>Сантехник</x:v>
      </x:c>
      <x:c r="N371" s="51" t="n">
        <x:v>75</x:v>
      </x:c>
    </x:row>
    <x:row r="372">
      <x:c r="A372" s="51" t="str">
        <x:v>MAT-6R-0358</x:v>
      </x:c>
      <x:c r="B372" s="52" t="str">
        <x:v>Халаалтын босоо шугамын хуваарьлах Ф20/15 коллекторын тоо хэмжээ</x:v>
      </x:c>
      <x:c r="C372" s="52" t="str">
        <x:v>Галын гидрантны хоолой</x:v>
      </x:c>
      <x:c r="D372" s="52" t="str"/>
      <x:c r="E372" s="52" t="str">
        <x:v>ком</x:v>
      </x:c>
      <x:c r="F372" s="53" t="n">
        <x:v>17</x:v>
      </x:c>
      <x:c r="G372" s="54" t="n">
        <x:v>270000</x:v>
      </x:c>
      <x:c r="H372" s="54" t="n">
        <x:v>4590000</x:v>
      </x:c>
      <x:c r="I372" s="54" t="n">
        <x:f>IF(AND(ISNUMBER(F372),ISNUMBER(G372)),ROUND(F372*G372,0),H372)</x:f>
        <x:v>4590000</x:v>
      </x:c>
      <x:c r="J372" s="54" t="n">
        <x:f>I372-H372</x:f>
        <x:v>0</x:v>
      </x:c>
      <x:c r="K372" s="51" t="str">
        <x:v>Материал</x:v>
      </x:c>
      <x:c r="L372" s="51" t="str">
        <x:f>IF(J372=0,"OK","Шалгах")</x:f>
        <x:v>OK</x:v>
      </x:c>
      <x:c r="M372" s="51" t="str">
        <x:v>Сантехник</x:v>
      </x:c>
      <x:c r="N372" s="51" t="n">
        <x:v>76</x:v>
      </x:c>
    </x:row>
    <x:row r="373">
      <x:c r="A373" s="51" t="str">
        <x:v>MAT-6R-0359</x:v>
      </x:c>
      <x:c r="B373" s="52" t="str">
        <x:v>Халаалтын босоо шугамын хуваарьлах Ф20/15 коллекторын тоо хэмжээ</x:v>
      </x:c>
      <x:c r="C373" s="52" t="str">
        <x:v>Хэ.Ха.Хүйтэн усны коллекторын таг</x:v>
      </x:c>
      <x:c r="D373" s="52" t="str"/>
      <x:c r="E373" s="52" t="str">
        <x:v>ш</x:v>
      </x:c>
      <x:c r="F373" s="53" t="n">
        <x:v>17</x:v>
      </x:c>
      <x:c r="G373" s="54" t="n">
        <x:v>180000</x:v>
      </x:c>
      <x:c r="H373" s="54" t="n">
        <x:v>3060000</x:v>
      </x:c>
      <x:c r="I373" s="54" t="n">
        <x:f>IF(AND(ISNUMBER(F373),ISNUMBER(G373)),ROUND(F373*G373,0),H373)</x:f>
        <x:v>3060000</x:v>
      </x:c>
      <x:c r="J373" s="54" t="n">
        <x:f>I373-H373</x:f>
        <x:v>0</x:v>
      </x:c>
      <x:c r="K373" s="51" t="str">
        <x:v>Материал</x:v>
      </x:c>
      <x:c r="L373" s="51" t="str">
        <x:f>IF(J373=0,"OK","Шалгах")</x:f>
        <x:v>OK</x:v>
      </x:c>
      <x:c r="M373" s="51" t="str">
        <x:v>Сантехник</x:v>
      </x:c>
      <x:c r="N373" s="51" t="n">
        <x:v>77</x:v>
      </x:c>
    </x:row>
    <x:row r="374">
      <x:c r="A374" s="51" t="str">
        <x:v>MAT-6R-0360</x:v>
      </x:c>
      <x:c r="B374" s="52" t="str">
        <x:v>Халаалтын босоо шугамын хуваарьлах Ф20/15 коллекторын тоо хэмжээ</x:v>
      </x:c>
      <x:c r="C374" s="52" t="str">
        <x:v>Халаалтын ерөнхий коллекторын таг</x:v>
      </x:c>
      <x:c r="D374" s="52" t="str"/>
      <x:c r="E374" s="52" t="str">
        <x:v>ш</x:v>
      </x:c>
      <x:c r="F374" s="53" t="n">
        <x:v>17</x:v>
      </x:c>
      <x:c r="G374" s="54" t="n">
        <x:v>180000</x:v>
      </x:c>
      <x:c r="H374" s="54" t="n">
        <x:v>3060000</x:v>
      </x:c>
      <x:c r="I374" s="54" t="n">
        <x:f>IF(AND(ISNUMBER(F374),ISNUMBER(G374)),ROUND(F374*G374,0),H374)</x:f>
        <x:v>3060000</x:v>
      </x:c>
      <x:c r="J374" s="54" t="n">
        <x:f>I374-H374</x:f>
        <x:v>0</x:v>
      </x:c>
      <x:c r="K374" s="51" t="str">
        <x:v>Материал</x:v>
      </x:c>
      <x:c r="L374" s="51" t="str">
        <x:f>IF(J374=0,"OK","Шалгах")</x:f>
        <x:v>OK</x:v>
      </x:c>
      <x:c r="M374" s="51" t="str">
        <x:v>Сантехник</x:v>
      </x:c>
      <x:c r="N374" s="51" t="n">
        <x:v>78</x:v>
      </x:c>
    </x:row>
    <x:row r="375">
      <x:c r="A375" s="51" t="str">
        <x:v>MAT-6R-0361</x:v>
      </x:c>
      <x:c r="B375" s="52" t="str">
        <x:v>Халаах хэрэгсэлийн тоо хэмжээ</x:v>
      </x:c>
      <x:c r="C375" s="52" t="str">
        <x:v>500*500</x:v>
      </x:c>
      <x:c r="D375" s="52" t="str"/>
      <x:c r="E375" s="52" t="str">
        <x:v>ш</x:v>
      </x:c>
      <x:c r="F375" s="53" t="n">
        <x:v>66</x:v>
      </x:c>
      <x:c r="G375" s="54" t="n">
        <x:v>286000</x:v>
      </x:c>
      <x:c r="H375" s="54" t="n">
        <x:v>18876000</x:v>
      </x:c>
      <x:c r="I375" s="54" t="n">
        <x:f>IF(AND(ISNUMBER(F375),ISNUMBER(G375)),ROUND(F375*G375,0),H375)</x:f>
        <x:v>18876000</x:v>
      </x:c>
      <x:c r="J375" s="54" t="n">
        <x:f>I375-H375</x:f>
        <x:v>0</x:v>
      </x:c>
      <x:c r="K375" s="51" t="str">
        <x:v>Материал</x:v>
      </x:c>
      <x:c r="L375" s="51" t="str">
        <x:f>IF(J375=0,"OK","Шалгах")</x:f>
        <x:v>OK</x:v>
      </x:c>
      <x:c r="M375" s="51" t="str">
        <x:v>Сантехник</x:v>
      </x:c>
      <x:c r="N375" s="51" t="n">
        <x:v>80</x:v>
      </x:c>
    </x:row>
    <x:row r="376">
      <x:c r="A376" s="51" t="str">
        <x:v>MAT-6R-0362</x:v>
      </x:c>
      <x:c r="B376" s="52" t="str">
        <x:v>Халаах хэрэгсэлийн тоо хэмжээ</x:v>
      </x:c>
      <x:c r="C376" s="52" t="str">
        <x:v>500*600</x:v>
      </x:c>
      <x:c r="D376" s="52" t="str"/>
      <x:c r="E376" s="52" t="str">
        <x:v>ш</x:v>
      </x:c>
      <x:c r="F376" s="53" t="n">
        <x:v>110</x:v>
      </x:c>
      <x:c r="G376" s="54" t="n">
        <x:v>306600</x:v>
      </x:c>
      <x:c r="H376" s="54" t="n">
        <x:v>33726000</x:v>
      </x:c>
      <x:c r="I376" s="54" t="n">
        <x:f>IF(AND(ISNUMBER(F376),ISNUMBER(G376)),ROUND(F376*G376,0),H376)</x:f>
        <x:v>33726000</x:v>
      </x:c>
      <x:c r="J376" s="54" t="n">
        <x:f>I376-H376</x:f>
        <x:v>0</x:v>
      </x:c>
      <x:c r="K376" s="51" t="str">
        <x:v>Материал</x:v>
      </x:c>
      <x:c r="L376" s="51" t="str">
        <x:f>IF(J376=0,"OK","Шалгах")</x:f>
        <x:v>OK</x:v>
      </x:c>
      <x:c r="M376" s="51" t="str">
        <x:v>Сантехник</x:v>
      </x:c>
      <x:c r="N376" s="51" t="n">
        <x:v>81</x:v>
      </x:c>
    </x:row>
    <x:row r="377">
      <x:c r="A377" s="51" t="str">
        <x:v>MAT-6R-0363</x:v>
      </x:c>
      <x:c r="B377" s="52" t="str">
        <x:v>Халаах хэрэгсэлийн тоо хэмжээ</x:v>
      </x:c>
      <x:c r="C377" s="52" t="str">
        <x:v>500*700</x:v>
      </x:c>
      <x:c r="D377" s="52" t="str"/>
      <x:c r="E377" s="52" t="str">
        <x:v>ш</x:v>
      </x:c>
      <x:c r="F377" s="53" t="n">
        <x:v>32</x:v>
      </x:c>
      <x:c r="G377" s="54" t="n">
        <x:v>331600</x:v>
      </x:c>
      <x:c r="H377" s="54" t="n">
        <x:v>10611200</x:v>
      </x:c>
      <x:c r="I377" s="54" t="n">
        <x:f>IF(AND(ISNUMBER(F377),ISNUMBER(G377)),ROUND(F377*G377,0),H377)</x:f>
        <x:v>10611200</x:v>
      </x:c>
      <x:c r="J377" s="54" t="n">
        <x:f>I377-H377</x:f>
        <x:v>0</x:v>
      </x:c>
      <x:c r="K377" s="51" t="str">
        <x:v>Материал</x:v>
      </x:c>
      <x:c r="L377" s="51" t="str">
        <x:f>IF(J377=0,"OK","Шалгах")</x:f>
        <x:v>OK</x:v>
      </x:c>
      <x:c r="M377" s="51" t="str">
        <x:v>Сантехник</x:v>
      </x:c>
      <x:c r="N377" s="51" t="n">
        <x:v>82</x:v>
      </x:c>
    </x:row>
    <x:row r="378">
      <x:c r="A378" s="51" t="str">
        <x:v>MAT-6R-0364</x:v>
      </x:c>
      <x:c r="B378" s="52" t="str">
        <x:v>Халаах хэрэгсэлийн тоо хэмжээ</x:v>
      </x:c>
      <x:c r="C378" s="52" t="str">
        <x:v>500*800 / шатны хонгилын -6ш</x:v>
      </x:c>
      <x:c r="D378" s="52" t="str"/>
      <x:c r="E378" s="52" t="str">
        <x:v>ш</x:v>
      </x:c>
      <x:c r="F378" s="53" t="n">
        <x:v>10</x:v>
      </x:c>
      <x:c r="G378" s="54" t="n">
        <x:v>355000</x:v>
      </x:c>
      <x:c r="H378" s="54" t="n">
        <x:v>3550000</x:v>
      </x:c>
      <x:c r="I378" s="54" t="n">
        <x:f>IF(AND(ISNUMBER(F378),ISNUMBER(G378)),ROUND(F378*G378,0),H378)</x:f>
        <x:v>3550000</x:v>
      </x:c>
      <x:c r="J378" s="54" t="n">
        <x:f>I378-H378</x:f>
        <x:v>0</x:v>
      </x:c>
      <x:c r="K378" s="51" t="str">
        <x:v>Материал</x:v>
      </x:c>
      <x:c r="L378" s="51" t="str">
        <x:f>IF(J378=0,"OK","Шалгах")</x:f>
        <x:v>OK</x:v>
      </x:c>
      <x:c r="M378" s="51" t="str">
        <x:v>Сантехник</x:v>
      </x:c>
      <x:c r="N378" s="51" t="n">
        <x:v>83</x:v>
      </x:c>
    </x:row>
    <x:row r="379">
      <x:c r="A379" s="51" t="str">
        <x:v>MAT-6R-0365</x:v>
      </x:c>
      <x:c r="B379" s="52" t="str">
        <x:v>Халаах хэрэгсэлийн тоо хэмжээ</x:v>
      </x:c>
      <x:c r="C379" s="52" t="str">
        <x:v>500*900</x:v>
      </x:c>
      <x:c r="D379" s="52" t="str"/>
      <x:c r="E379" s="52" t="str">
        <x:v>ш</x:v>
      </x:c>
      <x:c r="F379" s="53" t="n">
        <x:v>3</x:v>
      </x:c>
      <x:c r="G379" s="54" t="n">
        <x:v>383600</x:v>
      </x:c>
      <x:c r="H379" s="54" t="n">
        <x:v>1150800</x:v>
      </x:c>
      <x:c r="I379" s="54" t="n">
        <x:f>IF(AND(ISNUMBER(F379),ISNUMBER(G379)),ROUND(F379*G379,0),H379)</x:f>
        <x:v>1150800</x:v>
      </x:c>
      <x:c r="J379" s="54" t="n">
        <x:f>I379-H379</x:f>
        <x:v>0</x:v>
      </x:c>
      <x:c r="K379" s="51" t="str">
        <x:v>Материал</x:v>
      </x:c>
      <x:c r="L379" s="51" t="str">
        <x:f>IF(J379=0,"OK","Шалгах")</x:f>
        <x:v>OK</x:v>
      </x:c>
      <x:c r="M379" s="51" t="str">
        <x:v>Сантехник</x:v>
      </x:c>
      <x:c r="N379" s="51" t="n">
        <x:v>84</x:v>
      </x:c>
    </x:row>
    <x:row r="380">
      <x:c r="A380" s="51" t="str">
        <x:v>MAT-6R-0366</x:v>
      </x:c>
      <x:c r="B380" s="52" t="str">
        <x:v>Халаах хэрэгсэлийн тоо хэмжээ</x:v>
      </x:c>
      <x:c r="C380" s="52" t="str">
        <x:v>500*1000</x:v>
      </x:c>
      <x:c r="D380" s="52" t="str"/>
      <x:c r="E380" s="52" t="str">
        <x:v>ш</x:v>
      </x:c>
      <x:c r="F380" s="53" t="n">
        <x:v>2</x:v>
      </x:c>
      <x:c r="G380" s="54" t="n">
        <x:v>416100</x:v>
      </x:c>
      <x:c r="H380" s="54" t="n">
        <x:v>832200</x:v>
      </x:c>
      <x:c r="I380" s="54" t="n">
        <x:f>IF(AND(ISNUMBER(F380),ISNUMBER(G380)),ROUND(F380*G380,0),H380)</x:f>
        <x:v>832200</x:v>
      </x:c>
      <x:c r="J380" s="54" t="n">
        <x:f>I380-H380</x:f>
        <x:v>0</x:v>
      </x:c>
      <x:c r="K380" s="51" t="str">
        <x:v>Материал</x:v>
      </x:c>
      <x:c r="L380" s="51" t="str">
        <x:f>IF(J380=0,"OK","Шалгах")</x:f>
        <x:v>OK</x:v>
      </x:c>
      <x:c r="M380" s="51" t="str">
        <x:v>Сантехник</x:v>
      </x:c>
      <x:c r="N380" s="51" t="n">
        <x:v>85</x:v>
      </x:c>
    </x:row>
    <x:row r="381">
      <x:c r="A381" s="51" t="str">
        <x:v>MAT-6R-0367</x:v>
      </x:c>
      <x:c r="B381" s="52" t="str">
        <x:v>Халаах хэрэгсэлийн тоо хэмжээ</x:v>
      </x:c>
      <x:c r="C381" s="52" t="str">
        <x:v>500*1200</x:v>
      </x:c>
      <x:c r="D381" s="52" t="str"/>
      <x:c r="E381" s="52" t="str">
        <x:v>ш</x:v>
      </x:c>
      <x:c r="F381" s="53" t="n">
        <x:v>7</x:v>
      </x:c>
      <x:c r="G381" s="54" t="n">
        <x:v>469500</x:v>
      </x:c>
      <x:c r="H381" s="54" t="n">
        <x:v>3286500</x:v>
      </x:c>
      <x:c r="I381" s="54" t="n">
        <x:f>IF(AND(ISNUMBER(F381),ISNUMBER(G381)),ROUND(F381*G381,0),H381)</x:f>
        <x:v>3286500</x:v>
      </x:c>
      <x:c r="J381" s="54" t="n">
        <x:f>I381-H381</x:f>
        <x:v>0</x:v>
      </x:c>
      <x:c r="K381" s="51" t="str">
        <x:v>Материал</x:v>
      </x:c>
      <x:c r="L381" s="51" t="str">
        <x:f>IF(J381=0,"OK","Шалгах")</x:f>
        <x:v>OK</x:v>
      </x:c>
      <x:c r="M381" s="51" t="str">
        <x:v>Сантехник</x:v>
      </x:c>
      <x:c r="N381" s="51" t="n">
        <x:v>86</x:v>
      </x:c>
    </x:row>
    <x:row r="382">
      <x:c r="A382" s="51" t="str">
        <x:v>MAT-6R-0368</x:v>
      </x:c>
      <x:c r="B382" s="52" t="str">
        <x:v>Халаах хэрэгсэлийн тоо хэмжээ</x:v>
      </x:c>
      <x:c r="C382" s="52" t="str">
        <x:v>500*1400</x:v>
      </x:c>
      <x:c r="D382" s="52" t="str"/>
      <x:c r="E382" s="52" t="str">
        <x:v>ш</x:v>
      </x:c>
      <x:c r="F382" s="53" t="n">
        <x:v>1</x:v>
      </x:c>
      <x:c r="G382" s="54" t="n">
        <x:v>522400</x:v>
      </x:c>
      <x:c r="H382" s="54" t="n">
        <x:v>522400</x:v>
      </x:c>
      <x:c r="I382" s="54" t="n">
        <x:f>IF(AND(ISNUMBER(F382),ISNUMBER(G382)),ROUND(F382*G382,0),H382)</x:f>
        <x:v>522400</x:v>
      </x:c>
      <x:c r="J382" s="54" t="n">
        <x:f>I382-H382</x:f>
        <x:v>0</x:v>
      </x:c>
      <x:c r="K382" s="51" t="str">
        <x:v>Материал</x:v>
      </x:c>
      <x:c r="L382" s="51" t="str">
        <x:f>IF(J382=0,"OK","Шалгах")</x:f>
        <x:v>OK</x:v>
      </x:c>
      <x:c r="M382" s="51" t="str">
        <x:v>Сантехник</x:v>
      </x:c>
      <x:c r="N382" s="51" t="n">
        <x:v>87</x:v>
      </x:c>
    </x:row>
    <x:row r="383">
      <x:c r="A383" s="51" t="str">
        <x:v>MAT-6R-0369</x:v>
      </x:c>
      <x:c r="B383" s="52" t="str">
        <x:v>Халаах хэрэгсэлийн тоо хэмжээ</x:v>
      </x:c>
      <x:c r="C383" s="52" t="str">
        <x:v>500*1600</x:v>
      </x:c>
      <x:c r="D383" s="52" t="str"/>
      <x:c r="E383" s="52" t="str">
        <x:v>ш</x:v>
      </x:c>
      <x:c r="F383" s="53" t="n">
        <x:v>2</x:v>
      </x:c>
      <x:c r="G383" s="54" t="n">
        <x:v>569700</x:v>
      </x:c>
      <x:c r="H383" s="54" t="n">
        <x:v>1139400</x:v>
      </x:c>
      <x:c r="I383" s="54" t="n">
        <x:f>IF(AND(ISNUMBER(F383),ISNUMBER(G383)),ROUND(F383*G383,0),H383)</x:f>
        <x:v>1139400</x:v>
      </x:c>
      <x:c r="J383" s="54" t="n">
        <x:f>I383-H383</x:f>
        <x:v>0</x:v>
      </x:c>
      <x:c r="K383" s="51" t="str">
        <x:v>Материал</x:v>
      </x:c>
      <x:c r="L383" s="51" t="str">
        <x:f>IF(J383=0,"OK","Шалгах")</x:f>
        <x:v>OK</x:v>
      </x:c>
      <x:c r="M383" s="51" t="str">
        <x:v>Сантехник</x:v>
      </x:c>
      <x:c r="N383" s="51" t="n">
        <x:v>88</x:v>
      </x:c>
    </x:row>
    <x:row r="384">
      <x:c r="A384" s="51" t="str">
        <x:v>MAT-6R-0370</x:v>
      </x:c>
      <x:c r="B384" s="52" t="str">
        <x:v>Халаах хэрэгсэлийн тоо хэмжээ</x:v>
      </x:c>
      <x:c r="C384" s="52" t="str">
        <x:v>300*600</x:v>
      </x:c>
      <x:c r="D384" s="52" t="str"/>
      <x:c r="E384" s="52" t="str">
        <x:v>ш</x:v>
      </x:c>
      <x:c r="F384" s="53" t="n">
        <x:v>29</x:v>
      </x:c>
      <x:c r="G384" s="54" t="n">
        <x:v>252600</x:v>
      </x:c>
      <x:c r="H384" s="54" t="n">
        <x:v>7325400</x:v>
      </x:c>
      <x:c r="I384" s="54" t="n">
        <x:f>IF(AND(ISNUMBER(F384),ISNUMBER(G384)),ROUND(F384*G384,0),H384)</x:f>
        <x:v>7325400</x:v>
      </x:c>
      <x:c r="J384" s="54" t="n">
        <x:f>I384-H384</x:f>
        <x:v>0</x:v>
      </x:c>
      <x:c r="K384" s="51" t="str">
        <x:v>Материал</x:v>
      </x:c>
      <x:c r="L384" s="51" t="str">
        <x:f>IF(J384=0,"OK","Шалгах")</x:f>
        <x:v>OK</x:v>
      </x:c>
      <x:c r="M384" s="51" t="str">
        <x:v>Сантехник</x:v>
      </x:c>
      <x:c r="N384" s="51" t="n">
        <x:v>89</x:v>
      </x:c>
    </x:row>
    <x:row r="385">
      <x:c r="A385" s="51" t="str">
        <x:v>MAT-6R-0371</x:v>
      </x:c>
      <x:c r="B385" s="52" t="str">
        <x:v>Халаах хэрэгсэлийн тоо хэмжээ</x:v>
      </x:c>
      <x:c r="C385" s="52" t="str">
        <x:v>300*800</x:v>
      </x:c>
      <x:c r="D385" s="52" t="str"/>
      <x:c r="E385" s="52" t="str">
        <x:v>ш</x:v>
      </x:c>
      <x:c r="F385" s="53" t="n">
        <x:v>52</x:v>
      </x:c>
      <x:c r="G385" s="54" t="n">
        <x:v>296600</x:v>
      </x:c>
      <x:c r="H385" s="54" t="n">
        <x:v>15423200</x:v>
      </x:c>
      <x:c r="I385" s="54" t="n">
        <x:f>IF(AND(ISNUMBER(F385),ISNUMBER(G385)),ROUND(F385*G385,0),H385)</x:f>
        <x:v>15423200</x:v>
      </x:c>
      <x:c r="J385" s="54" t="n">
        <x:f>I385-H385</x:f>
        <x:v>0</x:v>
      </x:c>
      <x:c r="K385" s="51" t="str">
        <x:v>Материал</x:v>
      </x:c>
      <x:c r="L385" s="51" t="str">
        <x:f>IF(J385=0,"OK","Шалгах")</x:f>
        <x:v>OK</x:v>
      </x:c>
      <x:c r="M385" s="51" t="str">
        <x:v>Сантехник</x:v>
      </x:c>
      <x:c r="N385" s="51" t="n">
        <x:v>90</x:v>
      </x:c>
    </x:row>
    <x:row r="386">
      <x:c r="A386" s="51" t="str">
        <x:v>MAT-6R-0372</x:v>
      </x:c>
      <x:c r="B386" s="52" t="str">
        <x:v>Халаах хэрэгсэлийн тоо хэмжээ</x:v>
      </x:c>
      <x:c r="C386" s="52" t="str">
        <x:v>300*1000</x:v>
      </x:c>
      <x:c r="D386" s="52" t="str"/>
      <x:c r="E386" s="52" t="str">
        <x:v>ш</x:v>
      </x:c>
      <x:c r="F386" s="53" t="n">
        <x:v>58</x:v>
      </x:c>
      <x:c r="G386" s="54" t="n">
        <x:v>332700</x:v>
      </x:c>
      <x:c r="H386" s="54" t="n">
        <x:v>19296600</x:v>
      </x:c>
      <x:c r="I386" s="54" t="n">
        <x:f>IF(AND(ISNUMBER(F386),ISNUMBER(G386)),ROUND(F386*G386,0),H386)</x:f>
        <x:v>19296600</x:v>
      </x:c>
      <x:c r="J386" s="54" t="n">
        <x:f>I386-H386</x:f>
        <x:v>0</x:v>
      </x:c>
      <x:c r="K386" s="51" t="str">
        <x:v>Материал</x:v>
      </x:c>
      <x:c r="L386" s="51" t="str">
        <x:f>IF(J386=0,"OK","Шалгах")</x:f>
        <x:v>OK</x:v>
      </x:c>
      <x:c r="M386" s="51" t="str">
        <x:v>Сантехник</x:v>
      </x:c>
      <x:c r="N386" s="51" t="n">
        <x:v>91</x:v>
      </x:c>
    </x:row>
    <x:row r="387">
      <x:c r="A387" s="51" t="str">
        <x:v>MAT-6R-0373</x:v>
      </x:c>
      <x:c r="B387" s="52" t="str">
        <x:v>Халаах хэрэгсэлийн тоо хэмжээ</x:v>
      </x:c>
      <x:c r="C387" s="52" t="str">
        <x:v>300*1200</x:v>
      </x:c>
      <x:c r="D387" s="52" t="str"/>
      <x:c r="E387" s="52" t="str">
        <x:v>ш</x:v>
      </x:c>
      <x:c r="F387" s="53" t="n">
        <x:v>14</x:v>
      </x:c>
      <x:c r="G387" s="54" t="n">
        <x:v>384000</x:v>
      </x:c>
      <x:c r="H387" s="54" t="n">
        <x:v>5376000</x:v>
      </x:c>
      <x:c r="I387" s="54" t="n">
        <x:f>IF(AND(ISNUMBER(F387),ISNUMBER(G387)),ROUND(F387*G387,0),H387)</x:f>
        <x:v>5376000</x:v>
      </x:c>
      <x:c r="J387" s="54" t="n">
        <x:f>I387-H387</x:f>
        <x:v>0</x:v>
      </x:c>
      <x:c r="K387" s="51" t="str">
        <x:v>Материал</x:v>
      </x:c>
      <x:c r="L387" s="51" t="str">
        <x:f>IF(J387=0,"OK","Шалгах")</x:f>
        <x:v>OK</x:v>
      </x:c>
      <x:c r="M387" s="51" t="str">
        <x:v>Сантехник</x:v>
      </x:c>
      <x:c r="N387" s="51" t="n">
        <x:v>92</x:v>
      </x:c>
    </x:row>
    <x:row r="388">
      <x:c r="A388" s="51" t="str">
        <x:v>MAT-6R-0374</x:v>
      </x:c>
      <x:c r="B388" s="52" t="str">
        <x:v>Халаах хэрэгсэлийн тоо хэмжээ</x:v>
      </x:c>
      <x:c r="C388" s="52" t="str">
        <x:v>300*1600</x:v>
      </x:c>
      <x:c r="D388" s="52" t="str"/>
      <x:c r="E388" s="52" t="str">
        <x:v>ш</x:v>
      </x:c>
      <x:c r="F388" s="53" t="n">
        <x:v>43</x:v>
      </x:c>
      <x:c r="G388" s="54" t="n">
        <x:v>426400</x:v>
      </x:c>
      <x:c r="H388" s="54" t="n">
        <x:v>18335200</x:v>
      </x:c>
      <x:c r="I388" s="54" t="n">
        <x:f>IF(AND(ISNUMBER(F388),ISNUMBER(G388)),ROUND(F388*G388,0),H388)</x:f>
        <x:v>18335200</x:v>
      </x:c>
      <x:c r="J388" s="54" t="n">
        <x:f>I388-H388</x:f>
        <x:v>0</x:v>
      </x:c>
      <x:c r="K388" s="51" t="str">
        <x:v>Материал</x:v>
      </x:c>
      <x:c r="L388" s="51" t="str">
        <x:f>IF(J388=0,"OK","Шалгах")</x:f>
        <x:v>OK</x:v>
      </x:c>
      <x:c r="M388" s="51" t="str">
        <x:v>Сантехник</x:v>
      </x:c>
      <x:c r="N388" s="51" t="n">
        <x:v>93</x:v>
      </x:c>
    </x:row>
    <x:row r="389">
      <x:c r="A389" s="51" t="str">
        <x:v>MAT-6R-0375</x:v>
      </x:c>
      <x:c r="B389" s="52" t="str">
        <x:v>Халаах хэрэгсэлийн тоо хэмжээ</x:v>
      </x:c>
      <x:c r="C389" s="52" t="str">
        <x:v>Кронштейн 00050</x:v>
      </x:c>
      <x:c r="D389" s="52" t="str"/>
      <x:c r="E389" s="52" t="str">
        <x:v>ш</x:v>
      </x:c>
      <x:c r="F389" s="53" t="n">
        <x:v>469</x:v>
      </x:c>
      <x:c r="G389" s="54" t="n">
        <x:v>8300</x:v>
      </x:c>
      <x:c r="H389" s="54" t="n">
        <x:v>3892700</x:v>
      </x:c>
      <x:c r="I389" s="54" t="n">
        <x:f>IF(AND(ISNUMBER(F389),ISNUMBER(G389)),ROUND(F389*G389,0),H389)</x:f>
        <x:v>3892700</x:v>
      </x:c>
      <x:c r="J389" s="54" t="n">
        <x:f>I389-H389</x:f>
        <x:v>0</x:v>
      </x:c>
      <x:c r="K389" s="51" t="str">
        <x:v>Материал</x:v>
      </x:c>
      <x:c r="L389" s="51" t="str">
        <x:f>IF(J389=0,"OK","Шалгах")</x:f>
        <x:v>OK</x:v>
      </x:c>
      <x:c r="M389" s="51" t="str">
        <x:v>Сантехник</x:v>
      </x:c>
      <x:c r="N389" s="51" t="n">
        <x:v>94</x:v>
      </x:c>
    </x:row>
    <x:row r="390">
      <x:c r="A390" s="51" t="str">
        <x:v>MAT-6R-0376</x:v>
      </x:c>
      <x:c r="B390" s="52" t="str">
        <x:v>Халаах хэрэгсэлийн тоо хэмжээ</x:v>
      </x:c>
      <x:c r="C390" s="52" t="str">
        <x:v>Кронштейн 00030</x:v>
      </x:c>
      <x:c r="D390" s="52" t="str"/>
      <x:c r="E390" s="52" t="str">
        <x:v>ш</x:v>
      </x:c>
      <x:c r="F390" s="53" t="n">
        <x:v>439</x:v>
      </x:c>
      <x:c r="G390" s="54" t="n">
        <x:v>6800</x:v>
      </x:c>
      <x:c r="H390" s="54" t="n">
        <x:v>2985200</x:v>
      </x:c>
      <x:c r="I390" s="54" t="n">
        <x:f>IF(AND(ISNUMBER(F390),ISNUMBER(G390)),ROUND(F390*G390,0),H390)</x:f>
        <x:v>2985200</x:v>
      </x:c>
      <x:c r="J390" s="54" t="n">
        <x:f>I390-H390</x:f>
        <x:v>0</x:v>
      </x:c>
      <x:c r="K390" s="51" t="str">
        <x:v>Материал</x:v>
      </x:c>
      <x:c r="L390" s="51" t="str">
        <x:f>IF(J390=0,"OK","Шалгах")</x:f>
        <x:v>OK</x:v>
      </x:c>
      <x:c r="M390" s="51" t="str">
        <x:v>Сантехник</x:v>
      </x:c>
      <x:c r="N390" s="51" t="n">
        <x:v>95</x:v>
      </x:c>
    </x:row>
    <x:row r="391">
      <x:c r="A391" s="51" t="str">
        <x:v>MAT-6R-0377</x:v>
      </x:c>
      <x:c r="B391" s="52" t="str">
        <x:v>Халаах хэрэгсэлийн тоо хэмжээ</x:v>
      </x:c>
      <x:c r="C391" s="52" t="str">
        <x:v>Зажем</x:v>
      </x:c>
      <x:c r="D391" s="52" t="str"/>
      <x:c r="E391" s="52" t="str">
        <x:v>ш</x:v>
      </x:c>
      <x:c r="F391" s="53" t="n">
        <x:v>860</x:v>
      </x:c>
      <x:c r="G391" s="54" t="n">
        <x:v>5950</x:v>
      </x:c>
      <x:c r="H391" s="54" t="n">
        <x:v>5117000</x:v>
      </x:c>
      <x:c r="I391" s="54" t="n">
        <x:f>IF(AND(ISNUMBER(F391),ISNUMBER(G391)),ROUND(F391*G391,0),H391)</x:f>
        <x:v>5117000</x:v>
      </x:c>
      <x:c r="J391" s="54" t="n">
        <x:f>I391-H391</x:f>
        <x:v>0</x:v>
      </x:c>
      <x:c r="K391" s="51" t="str">
        <x:v>Материал</x:v>
      </x:c>
      <x:c r="L391" s="51" t="str">
        <x:f>IF(J391=0,"OK","Шалгах")</x:f>
        <x:v>OK</x:v>
      </x:c>
      <x:c r="M391" s="51" t="str">
        <x:v>Сантехник</x:v>
      </x:c>
      <x:c r="N391" s="51" t="n">
        <x:v>96</x:v>
      </x:c>
    </x:row>
    <x:row r="392">
      <x:c r="A392" s="51" t="str">
        <x:v>MAT-6R-0378</x:v>
      </x:c>
      <x:c r="B392" s="52" t="str">
        <x:v>Халаах хэрэгсэлийн тоо хэмжээ</x:v>
      </x:c>
      <x:c r="C392" s="52" t="str">
        <x:v>Н винтель</x:v>
      </x:c>
      <x:c r="D392" s="52" t="str"/>
      <x:c r="E392" s="52" t="str">
        <x:v>ш</x:v>
      </x:c>
      <x:c r="F392" s="53" t="n">
        <x:v>419</x:v>
      </x:c>
      <x:c r="G392" s="54" t="n">
        <x:v>37280</x:v>
      </x:c>
      <x:c r="H392" s="54" t="n">
        <x:v>15620320</x:v>
      </x:c>
      <x:c r="I392" s="54" t="n">
        <x:f>IF(AND(ISNUMBER(F392),ISNUMBER(G392)),ROUND(F392*G392,0),H392)</x:f>
        <x:v>15620320</x:v>
      </x:c>
      <x:c r="J392" s="54" t="n">
        <x:f>I392-H392</x:f>
        <x:v>0</x:v>
      </x:c>
      <x:c r="K392" s="51" t="str">
        <x:v>Материал</x:v>
      </x:c>
      <x:c r="L392" s="51" t="str">
        <x:f>IF(J392=0,"OK","Шалгах")</x:f>
        <x:v>OK</x:v>
      </x:c>
      <x:c r="M392" s="51" t="str">
        <x:v>Сантехник</x:v>
      </x:c>
      <x:c r="N392" s="51" t="n">
        <x:v>97</x:v>
      </x:c>
    </x:row>
    <x:row r="393">
      <x:c r="A393" s="51" t="str">
        <x:v>MAT-6R-0379</x:v>
      </x:c>
      <x:c r="B393" s="52" t="str">
        <x:v>Халаах хэрэгсэлийн тоо хэмжээ</x:v>
      </x:c>
      <x:c r="C393" s="52" t="str">
        <x:v>Заглушка</x:v>
      </x:c>
      <x:c r="D393" s="52" t="str"/>
      <x:c r="E393" s="52" t="str">
        <x:v>ш</x:v>
      </x:c>
      <x:c r="F393" s="53" t="n">
        <x:v>429</x:v>
      </x:c>
      <x:c r="G393" s="54" t="n">
        <x:v>4500</x:v>
      </x:c>
      <x:c r="H393" s="54" t="n">
        <x:v>1930500</x:v>
      </x:c>
      <x:c r="I393" s="54" t="n">
        <x:f>IF(AND(ISNUMBER(F393),ISNUMBER(G393)),ROUND(F393*G393,0),H393)</x:f>
        <x:v>1930500</x:v>
      </x:c>
      <x:c r="J393" s="54" t="n">
        <x:f>I393-H393</x:f>
        <x:v>0</x:v>
      </x:c>
      <x:c r="K393" s="51" t="str">
        <x:v>Материал</x:v>
      </x:c>
      <x:c r="L393" s="51" t="str">
        <x:f>IF(J393=0,"OK","Шалгах")</x:f>
        <x:v>OK</x:v>
      </x:c>
      <x:c r="M393" s="51" t="str">
        <x:v>Сантехник</x:v>
      </x:c>
      <x:c r="N393" s="51" t="n">
        <x:v>98</x:v>
      </x:c>
    </x:row>
    <x:row r="394">
      <x:c r="A394" s="51" t="str">
        <x:v>MAT-6R-0380</x:v>
      </x:c>
      <x:c r="B394" s="52" t="str">
        <x:v>Халаах хэрэгсэлийн тоо хэмжээ</x:v>
      </x:c>
      <x:c r="C394" s="52" t="str">
        <x:v>Пукса</x:v>
      </x:c>
      <x:c r="D394" s="52" t="str"/>
      <x:c r="E394" s="52" t="str">
        <x:v>ш</x:v>
      </x:c>
      <x:c r="F394" s="53" t="n">
        <x:v>430</x:v>
      </x:c>
      <x:c r="G394" s="54" t="n">
        <x:v>14250</x:v>
      </x:c>
      <x:c r="H394" s="54" t="n">
        <x:v>6127500</x:v>
      </x:c>
      <x:c r="I394" s="54" t="n">
        <x:f>IF(AND(ISNUMBER(F394),ISNUMBER(G394)),ROUND(F394*G394,0),H394)</x:f>
        <x:v>6127500</x:v>
      </x:c>
      <x:c r="J394" s="54" t="n">
        <x:f>I394-H394</x:f>
        <x:v>0</x:v>
      </x:c>
      <x:c r="K394" s="51" t="str">
        <x:v>Материал</x:v>
      </x:c>
      <x:c r="L394" s="51" t="str">
        <x:f>IF(J394=0,"OK","Шалгах")</x:f>
        <x:v>OK</x:v>
      </x:c>
      <x:c r="M394" s="51" t="str">
        <x:v>Сантехник</x:v>
      </x:c>
      <x:c r="N394" s="51" t="n">
        <x:v>99</x:v>
      </x:c>
    </x:row>
    <x:row r="395">
      <x:c r="A395" s="51" t="str">
        <x:v>MAT-6R-0381</x:v>
      </x:c>
      <x:c r="B395" s="52" t="str">
        <x:v>Хэрэгцээний халуун хүйтэн усны шугамын систем</x:v>
      </x:c>
      <x:c r="C395" s="52" t="str">
        <x:v>PPR хоолой Ф76</x:v>
      </x:c>
      <x:c r="D395" s="52" t="str"/>
      <x:c r="E395" s="52" t="str">
        <x:v>у/м</x:v>
      </x:c>
      <x:c r="F395" s="53" t="n">
        <x:v>60</x:v>
      </x:c>
      <x:c r="G395" s="54" t="n">
        <x:v>42000</x:v>
      </x:c>
      <x:c r="H395" s="54" t="n">
        <x:v>2520000</x:v>
      </x:c>
      <x:c r="I395" s="54" t="n">
        <x:f>IF(AND(ISNUMBER(F395),ISNUMBER(G395)),ROUND(F395*G395,0),H395)</x:f>
        <x:v>2520000</x:v>
      </x:c>
      <x:c r="J395" s="54" t="n">
        <x:f>I395-H395</x:f>
        <x:v>0</x:v>
      </x:c>
      <x:c r="K395" s="51" t="str">
        <x:v>Материал</x:v>
      </x:c>
      <x:c r="L395" s="51" t="str">
        <x:f>IF(J395=0,"OK","Шалгах")</x:f>
        <x:v>OK</x:v>
      </x:c>
      <x:c r="M395" s="51" t="str">
        <x:v>Сантехник</x:v>
      </x:c>
      <x:c r="N395" s="51" t="n">
        <x:v>101</x:v>
      </x:c>
    </x:row>
    <x:row r="396">
      <x:c r="A396" s="51" t="str">
        <x:v>MAT-6R-0382</x:v>
      </x:c>
      <x:c r="B396" s="52" t="str">
        <x:v>Хэрэгцээний халуун хүйтэн усны шугамын систем</x:v>
      </x:c>
      <x:c r="C396" s="52" t="str">
        <x:v>Ф63</x:v>
      </x:c>
      <x:c r="D396" s="52" t="str"/>
      <x:c r="E396" s="52" t="str">
        <x:v>у/м</x:v>
      </x:c>
      <x:c r="F396" s="53" t="n">
        <x:v>24</x:v>
      </x:c>
      <x:c r="G396" s="54" t="n">
        <x:v>30000</x:v>
      </x:c>
      <x:c r="H396" s="54" t="n">
        <x:v>720000</x:v>
      </x:c>
      <x:c r="I396" s="54" t="n">
        <x:f>IF(AND(ISNUMBER(F396),ISNUMBER(G396)),ROUND(F396*G396,0),H396)</x:f>
        <x:v>720000</x:v>
      </x:c>
      <x:c r="J396" s="54" t="n">
        <x:f>I396-H396</x:f>
        <x:v>0</x:v>
      </x:c>
      <x:c r="K396" s="51" t="str">
        <x:v>Материал</x:v>
      </x:c>
      <x:c r="L396" s="51" t="str">
        <x:f>IF(J396=0,"OK","Шалгах")</x:f>
        <x:v>OK</x:v>
      </x:c>
      <x:c r="M396" s="51" t="str">
        <x:v>Сантехник</x:v>
      </x:c>
      <x:c r="N396" s="51" t="n">
        <x:v>102</x:v>
      </x:c>
    </x:row>
    <x:row r="397">
      <x:c r="A397" s="51" t="str">
        <x:v>MAT-6R-0383</x:v>
      </x:c>
      <x:c r="B397" s="52" t="str">
        <x:v>Хэрэгцээний халуун хүйтэн усны шугамын систем</x:v>
      </x:c>
      <x:c r="C397" s="52" t="str">
        <x:v>Ф50</x:v>
      </x:c>
      <x:c r="D397" s="52" t="str"/>
      <x:c r="E397" s="52" t="str">
        <x:v>у/м</x:v>
      </x:c>
      <x:c r="F397" s="53" t="n">
        <x:v>16</x:v>
      </x:c>
      <x:c r="G397" s="54" t="n">
        <x:v>19000</x:v>
      </x:c>
      <x:c r="H397" s="54" t="n">
        <x:v>304000</x:v>
      </x:c>
      <x:c r="I397" s="54" t="n">
        <x:f>IF(AND(ISNUMBER(F397),ISNUMBER(G397)),ROUND(F397*G397,0),H397)</x:f>
        <x:v>304000</x:v>
      </x:c>
      <x:c r="J397" s="54" t="n">
        <x:f>I397-H397</x:f>
        <x:v>0</x:v>
      </x:c>
      <x:c r="K397" s="51" t="str">
        <x:v>Материал</x:v>
      </x:c>
      <x:c r="L397" s="51" t="str">
        <x:f>IF(J397=0,"OK","Шалгах")</x:f>
        <x:v>OK</x:v>
      </x:c>
      <x:c r="M397" s="51" t="str">
        <x:v>Сантехник</x:v>
      </x:c>
      <x:c r="N397" s="51" t="n">
        <x:v>103</x:v>
      </x:c>
    </x:row>
    <x:row r="398">
      <x:c r="A398" s="51" t="str">
        <x:v>MAT-6R-0384</x:v>
      </x:c>
      <x:c r="B398" s="52" t="str">
        <x:v>Хэрэгцээний халуун хүйтэн усны шугамын систем</x:v>
      </x:c>
      <x:c r="C398" s="52" t="str">
        <x:v>Ф40</x:v>
      </x:c>
      <x:c r="D398" s="52" t="str"/>
      <x:c r="E398" s="52" t="str">
        <x:v>у/м</x:v>
      </x:c>
      <x:c r="F398" s="53" t="n">
        <x:v>16</x:v>
      </x:c>
      <x:c r="G398" s="54" t="n">
        <x:v>12000</x:v>
      </x:c>
      <x:c r="H398" s="54" t="n">
        <x:v>192000</x:v>
      </x:c>
      <x:c r="I398" s="54" t="n">
        <x:f>IF(AND(ISNUMBER(F398),ISNUMBER(G398)),ROUND(F398*G398,0),H398)</x:f>
        <x:v>192000</x:v>
      </x:c>
      <x:c r="J398" s="54" t="n">
        <x:f>I398-H398</x:f>
        <x:v>0</x:v>
      </x:c>
      <x:c r="K398" s="51" t="str">
        <x:v>Материал</x:v>
      </x:c>
      <x:c r="L398" s="51" t="str">
        <x:f>IF(J398=0,"OK","Шалгах")</x:f>
        <x:v>OK</x:v>
      </x:c>
      <x:c r="M398" s="51" t="str">
        <x:v>Сантехник</x:v>
      </x:c>
      <x:c r="N398" s="51" t="n">
        <x:v>104</x:v>
      </x:c>
    </x:row>
    <x:row r="399">
      <x:c r="A399" s="51" t="str">
        <x:v>MAT-6R-0385</x:v>
      </x:c>
      <x:c r="B399" s="52" t="str">
        <x:v>Хэрэгцээний халуун хүйтэн усны шугамын систем</x:v>
      </x:c>
      <x:c r="C399" s="52" t="str">
        <x:v>Ф32</x:v>
      </x:c>
      <x:c r="D399" s="52" t="str"/>
      <x:c r="E399" s="52" t="str">
        <x:v>у/м</x:v>
      </x:c>
      <x:c r="F399" s="53" t="n">
        <x:v>56</x:v>
      </x:c>
      <x:c r="G399" s="54" t="n">
        <x:v>7600</x:v>
      </x:c>
      <x:c r="H399" s="54" t="n">
        <x:v>425600</x:v>
      </x:c>
      <x:c r="I399" s="54" t="n">
        <x:f>IF(AND(ISNUMBER(F399),ISNUMBER(G399)),ROUND(F399*G399,0),H399)</x:f>
        <x:v>425600</x:v>
      </x:c>
      <x:c r="J399" s="54" t="n">
        <x:f>I399-H399</x:f>
        <x:v>0</x:v>
      </x:c>
      <x:c r="K399" s="51" t="str">
        <x:v>Материал</x:v>
      </x:c>
      <x:c r="L399" s="51" t="str">
        <x:f>IF(J399=0,"OK","Шалгах")</x:f>
        <x:v>OK</x:v>
      </x:c>
      <x:c r="M399" s="51" t="str">
        <x:v>Сантехник</x:v>
      </x:c>
      <x:c r="N399" s="51" t="n">
        <x:v>105</x:v>
      </x:c>
    </x:row>
    <x:row r="400">
      <x:c r="A400" s="51" t="str">
        <x:v>MAT-6R-0386</x:v>
      </x:c>
      <x:c r="B400" s="52" t="str">
        <x:v>Хэрэгцээний халуун хүйтэн усны шугамын систем</x:v>
      </x:c>
      <x:c r="C400" s="52" t="str">
        <x:v>цайрдсан труба Ф76</x:v>
      </x:c>
      <x:c r="D400" s="52" t="str"/>
      <x:c r="E400" s="52" t="str">
        <x:v>у/м</x:v>
      </x:c>
      <x:c r="F400" s="53" t="n">
        <x:v>96</x:v>
      </x:c>
      <x:c r="G400" s="54" t="n">
        <x:v>66626</x:v>
      </x:c>
      <x:c r="H400" s="54" t="n">
        <x:v>6396096</x:v>
      </x:c>
      <x:c r="I400" s="54" t="n">
        <x:f>IF(AND(ISNUMBER(F400),ISNUMBER(G400)),ROUND(F400*G400,0),H400)</x:f>
        <x:v>6396096</x:v>
      </x:c>
      <x:c r="J400" s="54" t="n">
        <x:f>I400-H400</x:f>
        <x:v>0</x:v>
      </x:c>
      <x:c r="K400" s="51" t="str">
        <x:v>Материал</x:v>
      </x:c>
      <x:c r="L400" s="51" t="str">
        <x:f>IF(J400=0,"OK","Шалгах")</x:f>
        <x:v>OK</x:v>
      </x:c>
      <x:c r="M400" s="51" t="str">
        <x:v>Сантехник</x:v>
      </x:c>
      <x:c r="N400" s="51" t="n">
        <x:v>106</x:v>
      </x:c>
    </x:row>
    <x:row r="401">
      <x:c r="A401" s="51" t="str">
        <x:v>MAT-6R-0387</x:v>
      </x:c>
      <x:c r="B401" s="52" t="str">
        <x:v>Хэрэгцээний халуун хүйтэн усны шугамын систем</x:v>
      </x:c>
      <x:c r="C401" s="52" t="str">
        <x:v>Ф50</x:v>
      </x:c>
      <x:c r="D401" s="52" t="str"/>
      <x:c r="E401" s="52" t="str">
        <x:v>у/м</x:v>
      </x:c>
      <x:c r="F401" s="53" t="n">
        <x:v>100</x:v>
      </x:c>
      <x:c r="G401" s="54" t="n">
        <x:v>42972</x:v>
      </x:c>
      <x:c r="H401" s="54" t="n">
        <x:v>4297200</x:v>
      </x:c>
      <x:c r="I401" s="54" t="n">
        <x:f>IF(AND(ISNUMBER(F401),ISNUMBER(G401)),ROUND(F401*G401,0),H401)</x:f>
        <x:v>4297200</x:v>
      </x:c>
      <x:c r="J401" s="54" t="n">
        <x:f>I401-H401</x:f>
        <x:v>0</x:v>
      </x:c>
      <x:c r="K401" s="51" t="str">
        <x:v>Материал</x:v>
      </x:c>
      <x:c r="L401" s="51" t="str">
        <x:f>IF(J401=0,"OK","Шалгах")</x:f>
        <x:v>OK</x:v>
      </x:c>
      <x:c r="M401" s="51" t="str">
        <x:v>Сантехник</x:v>
      </x:c>
      <x:c r="N401" s="51" t="n">
        <x:v>107</x:v>
      </x:c>
    </x:row>
    <x:row r="402">
      <x:c r="A402" s="51" t="str">
        <x:v>MAT-6R-0388</x:v>
      </x:c>
      <x:c r="B402" s="52" t="str">
        <x:v>Хэрэгцээний халуун хүйтэн усны шугамын систем</x:v>
      </x:c>
      <x:c r="C402" s="52" t="str">
        <x:v>Цайрдсан булан Ф76</x:v>
      </x:c>
      <x:c r="D402" s="52" t="str"/>
      <x:c r="E402" s="52" t="str">
        <x:v>ш</x:v>
      </x:c>
      <x:c r="F402" s="53" t="n">
        <x:v>12</x:v>
      </x:c>
      <x:c r="G402" s="54" t="n">
        <x:v>22000</x:v>
      </x:c>
      <x:c r="H402" s="54" t="n">
        <x:v>264000</x:v>
      </x:c>
      <x:c r="I402" s="54" t="n">
        <x:f>IF(AND(ISNUMBER(F402),ISNUMBER(G402)),ROUND(F402*G402,0),H402)</x:f>
        <x:v>264000</x:v>
      </x:c>
      <x:c r="J402" s="54" t="n">
        <x:f>I402-H402</x:f>
        <x:v>0</x:v>
      </x:c>
      <x:c r="K402" s="51" t="str">
        <x:v>Материал</x:v>
      </x:c>
      <x:c r="L402" s="51" t="str">
        <x:f>IF(J402=0,"OK","Шалгах")</x:f>
        <x:v>OK</x:v>
      </x:c>
      <x:c r="M402" s="51" t="str">
        <x:v>Сантехник</x:v>
      </x:c>
      <x:c r="N402" s="51" t="n">
        <x:v>108</x:v>
      </x:c>
    </x:row>
    <x:row r="403">
      <x:c r="A403" s="51" t="str">
        <x:v>MAT-6R-0389</x:v>
      </x:c>
      <x:c r="B403" s="52" t="str">
        <x:v>Хэрэгцээний халуун хүйтэн усны шугамын систем</x:v>
      </x:c>
      <x:c r="C403" s="52" t="str">
        <x:v>Ф50</x:v>
      </x:c>
      <x:c r="D403" s="52" t="str"/>
      <x:c r="E403" s="52" t="str">
        <x:v>ш</x:v>
      </x:c>
      <x:c r="F403" s="53" t="n">
        <x:v>30</x:v>
      </x:c>
      <x:c r="G403" s="54" t="n">
        <x:v>17000</x:v>
      </x:c>
      <x:c r="H403" s="54" t="n">
        <x:v>510000</x:v>
      </x:c>
      <x:c r="I403" s="54" t="n">
        <x:f>IF(AND(ISNUMBER(F403),ISNUMBER(G403)),ROUND(F403*G403,0),H403)</x:f>
        <x:v>510000</x:v>
      </x:c>
      <x:c r="J403" s="54" t="n">
        <x:f>I403-H403</x:f>
        <x:v>0</x:v>
      </x:c>
      <x:c r="K403" s="51" t="str">
        <x:v>Материал</x:v>
      </x:c>
      <x:c r="L403" s="51" t="str">
        <x:f>IF(J403=0,"OK","Шалгах")</x:f>
        <x:v>OK</x:v>
      </x:c>
      <x:c r="M403" s="51" t="str">
        <x:v>Сантехник</x:v>
      </x:c>
      <x:c r="N403" s="51" t="n">
        <x:v>109</x:v>
      </x:c>
    </x:row>
    <x:row r="404">
      <x:c r="A404" s="51" t="str">
        <x:v>MAT-6R-0390</x:v>
      </x:c>
      <x:c r="B404" s="52" t="str">
        <x:v>Хэрэгцээний халуун хүйтэн усны шугамын систем</x:v>
      </x:c>
      <x:c r="C404" s="52" t="str">
        <x:v>Ф40</x:v>
      </x:c>
      <x:c r="D404" s="52" t="str"/>
      <x:c r="E404" s="52" t="str">
        <x:v>ш</x:v>
      </x:c>
      <x:c r="F404" s="53" t="n">
        <x:v>10</x:v>
      </x:c>
      <x:c r="G404" s="54" t="n">
        <x:v>9000</x:v>
      </x:c>
      <x:c r="H404" s="54" t="n">
        <x:v>90000</x:v>
      </x:c>
      <x:c r="I404" s="54" t="n">
        <x:f>IF(AND(ISNUMBER(F404),ISNUMBER(G404)),ROUND(F404*G404,0),H404)</x:f>
        <x:v>90000</x:v>
      </x:c>
      <x:c r="J404" s="54" t="n">
        <x:f>I404-H404</x:f>
        <x:v>0</x:v>
      </x:c>
      <x:c r="K404" s="51" t="str">
        <x:v>Материал</x:v>
      </x:c>
      <x:c r="L404" s="51" t="str">
        <x:f>IF(J404=0,"OK","Шалгах")</x:f>
        <x:v>OK</x:v>
      </x:c>
      <x:c r="M404" s="51" t="str">
        <x:v>Сантехник</x:v>
      </x:c>
      <x:c r="N404" s="51" t="n">
        <x:v>110</x:v>
      </x:c>
    </x:row>
    <x:row r="405">
      <x:c r="A405" s="51" t="str">
        <x:v>MAT-6R-0391</x:v>
      </x:c>
      <x:c r="B405" s="52" t="str">
        <x:v>Хэрэгцээний халуун хүйтэн усны шугамын систем</x:v>
      </x:c>
      <x:c r="C405" s="52" t="str">
        <x:v>Цайрдсан сосок Ф50</x:v>
      </x:c>
      <x:c r="D405" s="52" t="str"/>
      <x:c r="E405" s="52" t="str">
        <x:v>ш</x:v>
      </x:c>
      <x:c r="F405" s="53" t="n">
        <x:v>18</x:v>
      </x:c>
      <x:c r="G405" s="54" t="n">
        <x:v>6600</x:v>
      </x:c>
      <x:c r="H405" s="54" t="n">
        <x:v>118800</x:v>
      </x:c>
      <x:c r="I405" s="54" t="n">
        <x:f>IF(AND(ISNUMBER(F405),ISNUMBER(G405)),ROUND(F405*G405,0),H405)</x:f>
        <x:v>118800</x:v>
      </x:c>
      <x:c r="J405" s="54" t="n">
        <x:f>I405-H405</x:f>
        <x:v>0</x:v>
      </x:c>
      <x:c r="K405" s="51" t="str">
        <x:v>Материал</x:v>
      </x:c>
      <x:c r="L405" s="51" t="str">
        <x:f>IF(J405=0,"OK","Шалгах")</x:f>
        <x:v>OK</x:v>
      </x:c>
      <x:c r="M405" s="51" t="str">
        <x:v>Сантехник</x:v>
      </x:c>
      <x:c r="N405" s="51" t="n">
        <x:v>111</x:v>
      </x:c>
    </x:row>
    <x:row r="406">
      <x:c r="A406" s="51" t="str">
        <x:v>MAT-6R-0392</x:v>
      </x:c>
      <x:c r="B406" s="52" t="str">
        <x:v>Хэрэгцээний халуун хүйтэн усны шугамын систем</x:v>
      </x:c>
      <x:c r="C406" s="52" t="str">
        <x:v>Ф76 Бөмбөлгөн хаалт</x:v>
      </x:c>
      <x:c r="D406" s="52" t="str"/>
      <x:c r="E406" s="52" t="str">
        <x:v>ш</x:v>
      </x:c>
      <x:c r="F406" s="53" t="n">
        <x:v>4</x:v>
      </x:c>
      <x:c r="G406" s="54" t="n">
        <x:v>150000</x:v>
      </x:c>
      <x:c r="H406" s="54" t="n">
        <x:v>600000</x:v>
      </x:c>
      <x:c r="I406" s="54" t="n">
        <x:f>IF(AND(ISNUMBER(F406),ISNUMBER(G406)),ROUND(F406*G406,0),H406)</x:f>
        <x:v>600000</x:v>
      </x:c>
      <x:c r="J406" s="54" t="n">
        <x:f>I406-H406</x:f>
        <x:v>0</x:v>
      </x:c>
      <x:c r="K406" s="51" t="str">
        <x:v>Материал</x:v>
      </x:c>
      <x:c r="L406" s="51" t="str">
        <x:f>IF(J406=0,"OK","Шалгах")</x:f>
        <x:v>OK</x:v>
      </x:c>
      <x:c r="M406" s="51" t="str">
        <x:v>Сантехник</x:v>
      </x:c>
      <x:c r="N406" s="51" t="n">
        <x:v>112</x:v>
      </x:c>
    </x:row>
    <x:row r="407">
      <x:c r="A407" s="51" t="str">
        <x:v>MAT-6R-0393</x:v>
      </x:c>
      <x:c r="B407" s="52" t="str">
        <x:v>Хэрэгцээний халуун хүйтэн усны шугамын систем</x:v>
      </x:c>
      <x:c r="C407" s="52" t="str">
        <x:v>Ф50 Бөмбөлгөн хаалт</x:v>
      </x:c>
      <x:c r="D407" s="52" t="str"/>
      <x:c r="E407" s="52" t="str">
        <x:v>ш</x:v>
      </x:c>
      <x:c r="F407" s="53" t="n">
        <x:v>2</x:v>
      </x:c>
      <x:c r="G407" s="54" t="n">
        <x:v>135000</x:v>
      </x:c>
      <x:c r="H407" s="54" t="n">
        <x:v>270000</x:v>
      </x:c>
      <x:c r="I407" s="54" t="n">
        <x:f>IF(AND(ISNUMBER(F407),ISNUMBER(G407)),ROUND(F407*G407,0),H407)</x:f>
        <x:v>270000</x:v>
      </x:c>
      <x:c r="J407" s="54" t="n">
        <x:f>I407-H407</x:f>
        <x:v>0</x:v>
      </x:c>
      <x:c r="K407" s="51" t="str">
        <x:v>Материал</x:v>
      </x:c>
      <x:c r="L407" s="51" t="str">
        <x:f>IF(J407=0,"OK","Шалгах")</x:f>
        <x:v>OK</x:v>
      </x:c>
      <x:c r="M407" s="51" t="str">
        <x:v>Сантехник</x:v>
      </x:c>
      <x:c r="N407" s="51" t="n">
        <x:v>113</x:v>
      </x:c>
    </x:row>
    <x:row r="408">
      <x:c r="A408" s="51" t="str">
        <x:v>MAT-6R-0394</x:v>
      </x:c>
      <x:c r="B408" s="52" t="str">
        <x:v>Хэрэгцээний халуун хүйтэн усны шугамын систем</x:v>
      </x:c>
      <x:c r="C408" s="52" t="str">
        <x:v>Ф40 Бөмбөлгөн хаалт</x:v>
      </x:c>
      <x:c r="D408" s="52" t="str"/>
      <x:c r="E408" s="52" t="str">
        <x:v>ш</x:v>
      </x:c>
      <x:c r="F408" s="53" t="n">
        <x:v>2</x:v>
      </x:c>
      <x:c r="G408" s="54" t="n">
        <x:v>95000</x:v>
      </x:c>
      <x:c r="H408" s="54" t="n">
        <x:v>190000</x:v>
      </x:c>
      <x:c r="I408" s="54" t="n">
        <x:f>IF(AND(ISNUMBER(F408),ISNUMBER(G408)),ROUND(F408*G408,0),H408)</x:f>
        <x:v>190000</x:v>
      </x:c>
      <x:c r="J408" s="54" t="n">
        <x:f>I408-H408</x:f>
        <x:v>0</x:v>
      </x:c>
      <x:c r="K408" s="51" t="str">
        <x:v>Материал</x:v>
      </x:c>
      <x:c r="L408" s="51" t="str">
        <x:f>IF(J408=0,"OK","Шалгах")</x:f>
        <x:v>OK</x:v>
      </x:c>
      <x:c r="M408" s="51" t="str">
        <x:v>Сантехник</x:v>
      </x:c>
      <x:c r="N408" s="51" t="n">
        <x:v>114</x:v>
      </x:c>
    </x:row>
    <x:row r="409">
      <x:c r="A409" s="51" t="str">
        <x:v>MAT-6R-0395</x:v>
      </x:c>
      <x:c r="B409" s="52" t="str">
        <x:v>Хэрэгцээний халуун хүйтэн усны шугамын систем</x:v>
      </x:c>
      <x:c r="C409" s="52" t="str">
        <x:v>Ф76 Фланц [Төмрийн]</x:v>
      </x:c>
      <x:c r="D409" s="52" t="str"/>
      <x:c r="E409" s="52" t="str">
        <x:v>ш</x:v>
      </x:c>
      <x:c r="F409" s="53" t="n">
        <x:v>2</x:v>
      </x:c>
      <x:c r="G409" s="54" t="n">
        <x:v>15500</x:v>
      </x:c>
      <x:c r="H409" s="54" t="n">
        <x:v>31000</x:v>
      </x:c>
      <x:c r="I409" s="54" t="n">
        <x:f>IF(AND(ISNUMBER(F409),ISNUMBER(G409)),ROUND(F409*G409,0),H409)</x:f>
        <x:v>31000</x:v>
      </x:c>
      <x:c r="J409" s="54" t="n">
        <x:f>I409-H409</x:f>
        <x:v>0</x:v>
      </x:c>
      <x:c r="K409" s="51" t="str">
        <x:v>Материал</x:v>
      </x:c>
      <x:c r="L409" s="51" t="str">
        <x:f>IF(J409=0,"OK","Шалгах")</x:f>
        <x:v>OK</x:v>
      </x:c>
      <x:c r="M409" s="51" t="str">
        <x:v>Сантехник</x:v>
      </x:c>
      <x:c r="N409" s="51" t="n">
        <x:v>115</x:v>
      </x:c>
    </x:row>
    <x:row r="410">
      <x:c r="A410" s="51" t="str">
        <x:v>MAT-6R-0396</x:v>
      </x:c>
      <x:c r="B410" s="52" t="str">
        <x:v>Хэрэгцээний халуун хүйтэн усны шугамын систем</x:v>
      </x:c>
      <x:c r="C410" s="52" t="str">
        <x:v>Ф40 Фланц [Төмрийн]</x:v>
      </x:c>
      <x:c r="D410" s="52" t="str"/>
      <x:c r="E410" s="52" t="str">
        <x:v>ш</x:v>
      </x:c>
      <x:c r="F410" s="53" t="n">
        <x:v>1</x:v>
      </x:c>
      <x:c r="G410" s="54" t="n">
        <x:v>11000</x:v>
      </x:c>
      <x:c r="H410" s="54" t="n">
        <x:v>11000</x:v>
      </x:c>
      <x:c r="I410" s="54" t="n">
        <x:f>IF(AND(ISNUMBER(F410),ISNUMBER(G410)),ROUND(F410*G410,0),H410)</x:f>
        <x:v>11000</x:v>
      </x:c>
      <x:c r="J410" s="54" t="n">
        <x:f>I410-H410</x:f>
        <x:v>0</x:v>
      </x:c>
      <x:c r="K410" s="51" t="str">
        <x:v>Материал</x:v>
      </x:c>
      <x:c r="L410" s="51" t="str">
        <x:f>IF(J410=0,"OK","Шалгах")</x:f>
        <x:v>OK</x:v>
      </x:c>
      <x:c r="M410" s="51" t="str">
        <x:v>Сантехник</x:v>
      </x:c>
      <x:c r="N410" s="51" t="n">
        <x:v>116</x:v>
      </x:c>
    </x:row>
    <x:row r="411">
      <x:c r="A411" s="51" t="str">
        <x:v>MAT-6R-0397</x:v>
      </x:c>
      <x:c r="B411" s="52" t="str">
        <x:v>Хэрэгцээний халуун хүйтэн усны шугамын систем</x:v>
      </x:c>
      <x:c r="C411" s="52" t="str">
        <x:v>Ф76 Паронит</x:v>
      </x:c>
      <x:c r="D411" s="52" t="str"/>
      <x:c r="E411" s="52" t="str">
        <x:v>ш</x:v>
      </x:c>
      <x:c r="F411" s="53" t="n">
        <x:v>1</x:v>
      </x:c>
      <x:c r="G411" s="54" t="n">
        <x:v>1400</x:v>
      </x:c>
      <x:c r="H411" s="54" t="n">
        <x:v>1400</x:v>
      </x:c>
      <x:c r="I411" s="54" t="n">
        <x:f>IF(AND(ISNUMBER(F411),ISNUMBER(G411)),ROUND(F411*G411,0),H411)</x:f>
        <x:v>1400</x:v>
      </x:c>
      <x:c r="J411" s="54" t="n">
        <x:f>I411-H411</x:f>
        <x:v>0</x:v>
      </x:c>
      <x:c r="K411" s="51" t="str">
        <x:v>Материал</x:v>
      </x:c>
      <x:c r="L411" s="51" t="str">
        <x:f>IF(J411=0,"OK","Шалгах")</x:f>
        <x:v>OK</x:v>
      </x:c>
      <x:c r="M411" s="51" t="str">
        <x:v>Сантехник</x:v>
      </x:c>
      <x:c r="N411" s="51" t="n">
        <x:v>117</x:v>
      </x:c>
    </x:row>
    <x:row r="412">
      <x:c r="A412" s="51" t="str">
        <x:v>MAT-6R-0398</x:v>
      </x:c>
      <x:c r="B412" s="52" t="str">
        <x:v>Хэрэгцээний халуун хүйтэн усны шугамын систем</x:v>
      </x:c>
      <x:c r="C412" s="52" t="str">
        <x:v>Ф40 Паронит</x:v>
      </x:c>
      <x:c r="D412" s="52" t="str"/>
      <x:c r="E412" s="52" t="str">
        <x:v>ш</x:v>
      </x:c>
      <x:c r="F412" s="53" t="n">
        <x:v>1</x:v>
      </x:c>
      <x:c r="G412" s="54" t="n">
        <x:v>1100</x:v>
      </x:c>
      <x:c r="H412" s="54" t="n">
        <x:v>1100</x:v>
      </x:c>
      <x:c r="I412" s="54" t="n">
        <x:f>IF(AND(ISNUMBER(F412),ISNUMBER(G412)),ROUND(F412*G412,0),H412)</x:f>
        <x:v>1100</x:v>
      </x:c>
      <x:c r="J412" s="54" t="n">
        <x:f>I412-H412</x:f>
        <x:v>0</x:v>
      </x:c>
      <x:c r="K412" s="51" t="str">
        <x:v>Материал</x:v>
      </x:c>
      <x:c r="L412" s="51" t="str">
        <x:f>IF(J412=0,"OK","Шалгах")</x:f>
        <x:v>OK</x:v>
      </x:c>
      <x:c r="M412" s="51" t="str">
        <x:v>Сантехник</x:v>
      </x:c>
      <x:c r="N412" s="51" t="n">
        <x:v>118</x:v>
      </x:c>
    </x:row>
    <x:row r="413">
      <x:c r="A413" s="51" t="str">
        <x:v>MAT-6R-0399</x:v>
      </x:c>
      <x:c r="B413" s="52" t="str">
        <x:v>Хэрэгцээний халуун хүйтэн усны шугамын систем</x:v>
      </x:c>
      <x:c r="C413" s="52" t="str">
        <x:v>М16 гайк</x:v>
      </x:c>
      <x:c r="D413" s="52" t="str"/>
      <x:c r="E413" s="52" t="str">
        <x:v>ш</x:v>
      </x:c>
      <x:c r="F413" s="53" t="n">
        <x:v>12</x:v>
      </x:c>
      <x:c r="G413" s="54" t="n">
        <x:v>1300</x:v>
      </x:c>
      <x:c r="H413" s="54" t="n">
        <x:v>15600</x:v>
      </x:c>
      <x:c r="I413" s="54" t="n">
        <x:f>IF(AND(ISNUMBER(F413),ISNUMBER(G413)),ROUND(F413*G413,0),H413)</x:f>
        <x:v>15600</x:v>
      </x:c>
      <x:c r="J413" s="54" t="n">
        <x:f>I413-H413</x:f>
        <x:v>0</x:v>
      </x:c>
      <x:c r="K413" s="51" t="str">
        <x:v>Материал</x:v>
      </x:c>
      <x:c r="L413" s="51" t="str">
        <x:f>IF(J413=0,"OK","Шалгах")</x:f>
        <x:v>OK</x:v>
      </x:c>
      <x:c r="M413" s="51" t="str">
        <x:v>Сантехник</x:v>
      </x:c>
      <x:c r="N413" s="51" t="n">
        <x:v>119</x:v>
      </x:c>
    </x:row>
    <x:row r="414">
      <x:c r="A414" s="51" t="str">
        <x:v>MAT-6R-0400</x:v>
      </x:c>
      <x:c r="B414" s="52" t="str">
        <x:v>Хэрэгцээний халуун хүйтэн усны шугамын систем</x:v>
      </x:c>
      <x:c r="C414" s="52" t="str">
        <x:v>М16 боолт</x:v>
      </x:c>
      <x:c r="D414" s="52" t="str"/>
      <x:c r="E414" s="52" t="str">
        <x:v>ш</x:v>
      </x:c>
      <x:c r="F414" s="53" t="n">
        <x:v>12</x:v>
      </x:c>
      <x:c r="G414" s="54" t="n">
        <x:v>1300</x:v>
      </x:c>
      <x:c r="H414" s="54" t="n">
        <x:v>15600</x:v>
      </x:c>
      <x:c r="I414" s="54" t="n">
        <x:f>IF(AND(ISNUMBER(F414),ISNUMBER(G414)),ROUND(F414*G414,0),H414)</x:f>
        <x:v>15600</x:v>
      </x:c>
      <x:c r="J414" s="54" t="n">
        <x:f>I414-H414</x:f>
        <x:v>0</x:v>
      </x:c>
      <x:c r="K414" s="51" t="str">
        <x:v>Материал</x:v>
      </x:c>
      <x:c r="L414" s="51" t="str">
        <x:f>IF(J414=0,"OK","Шалгах")</x:f>
        <x:v>OK</x:v>
      </x:c>
      <x:c r="M414" s="51" t="str">
        <x:v>Сантехник</x:v>
      </x:c>
      <x:c r="N414" s="51" t="n">
        <x:v>120</x:v>
      </x:c>
    </x:row>
    <x:row r="415">
      <x:c r="A415" s="51" t="str">
        <x:v>MAT-6R-0401</x:v>
      </x:c>
      <x:c r="B415" s="52" t="str">
        <x:v>Хэрэгцээний халуун хүйтэн усны шугамын систем</x:v>
      </x:c>
      <x:c r="C415" s="52" t="str">
        <x:v>Ф15 Сосок/ган/</x:v>
      </x:c>
      <x:c r="D415" s="52" t="str"/>
      <x:c r="E415" s="52" t="str">
        <x:v>ш</x:v>
      </x:c>
      <x:c r="F415" s="53" t="n">
        <x:v>4</x:v>
      </x:c>
      <x:c r="G415" s="54" t="n">
        <x:v>1700</x:v>
      </x:c>
      <x:c r="H415" s="54" t="n">
        <x:v>6800</x:v>
      </x:c>
      <x:c r="I415" s="54" t="n">
        <x:f>IF(AND(ISNUMBER(F415),ISNUMBER(G415)),ROUND(F415*G415,0),H415)</x:f>
        <x:v>6800</x:v>
      </x:c>
      <x:c r="J415" s="54" t="n">
        <x:f>I415-H415</x:f>
        <x:v>0</x:v>
      </x:c>
      <x:c r="K415" s="51" t="str">
        <x:v>Материал</x:v>
      </x:c>
      <x:c r="L415" s="51" t="str">
        <x:f>IF(J415=0,"OK","Шалгах")</x:f>
        <x:v>OK</x:v>
      </x:c>
      <x:c r="M415" s="51" t="str">
        <x:v>Сантехник</x:v>
      </x:c>
      <x:c r="N415" s="51" t="n">
        <x:v>121</x:v>
      </x:c>
    </x:row>
    <x:row r="416">
      <x:c r="A416" s="51" t="str">
        <x:v>MAT-6R-0402</x:v>
      </x:c>
      <x:c r="B416" s="52" t="str">
        <x:v>Хэрэгцээний халуун хүйтэн усны шугамын систем</x:v>
      </x:c>
      <x:c r="C416" s="52" t="str">
        <x:v>Ф15 Винтель</x:v>
      </x:c>
      <x:c r="D416" s="52" t="str"/>
      <x:c r="E416" s="52" t="str">
        <x:v>ш</x:v>
      </x:c>
      <x:c r="F416" s="53" t="n">
        <x:v>4</x:v>
      </x:c>
      <x:c r="G416" s="54" t="n">
        <x:v>16500</x:v>
      </x:c>
      <x:c r="H416" s="54" t="n">
        <x:v>66000</x:v>
      </x:c>
      <x:c r="I416" s="54" t="n">
        <x:f>IF(AND(ISNUMBER(F416),ISNUMBER(G416)),ROUND(F416*G416,0),H416)</x:f>
        <x:v>66000</x:v>
      </x:c>
      <x:c r="J416" s="54" t="n">
        <x:f>I416-H416</x:f>
        <x:v>0</x:v>
      </x:c>
      <x:c r="K416" s="51" t="str">
        <x:v>Материал</x:v>
      </x:c>
      <x:c r="L416" s="51" t="str">
        <x:f>IF(J416=0,"OK","Шалгах")</x:f>
        <x:v>OK</x:v>
      </x:c>
      <x:c r="M416" s="51" t="str">
        <x:v>Сантехник</x:v>
      </x:c>
      <x:c r="N416" s="51" t="n">
        <x:v>122</x:v>
      </x:c>
    </x:row>
    <x:row r="417">
      <x:c r="A417" s="51" t="str">
        <x:v>MAT-6R-0403</x:v>
      </x:c>
      <x:c r="B417" s="52" t="str">
        <x:v>Хэрэгцээний халуун хүйтэн усны шугамын систем</x:v>
      </x:c>
      <x:c r="C417" s="52" t="str">
        <x:v>PPR булан Ф76</x:v>
      </x:c>
      <x:c r="D417" s="52" t="str"/>
      <x:c r="E417" s="52" t="str">
        <x:v>ш</x:v>
      </x:c>
      <x:c r="F417" s="53" t="n">
        <x:v>10</x:v>
      </x:c>
      <x:c r="G417" s="54" t="n">
        <x:v>13300</x:v>
      </x:c>
      <x:c r="H417" s="54" t="n">
        <x:v>133000</x:v>
      </x:c>
      <x:c r="I417" s="54" t="n">
        <x:f>IF(AND(ISNUMBER(F417),ISNUMBER(G417)),ROUND(F417*G417,0),H417)</x:f>
        <x:v>133000</x:v>
      </x:c>
      <x:c r="J417" s="54" t="n">
        <x:f>I417-H417</x:f>
        <x:v>0</x:v>
      </x:c>
      <x:c r="K417" s="51" t="str">
        <x:v>Материал</x:v>
      </x:c>
      <x:c r="L417" s="51" t="str">
        <x:f>IF(J417=0,"OK","Шалгах")</x:f>
        <x:v>OK</x:v>
      </x:c>
      <x:c r="M417" s="51" t="str">
        <x:v>Сантехник</x:v>
      </x:c>
      <x:c r="N417" s="51" t="n">
        <x:v>123</x:v>
      </x:c>
    </x:row>
    <x:row r="418">
      <x:c r="A418" s="51" t="str">
        <x:v>MAT-6R-0404</x:v>
      </x:c>
      <x:c r="B418" s="52" t="str">
        <x:v>Хэрэгцээний халуун хүйтэн усны шугамын систем</x:v>
      </x:c>
      <x:c r="C418" s="52" t="str">
        <x:v>Ф40</x:v>
      </x:c>
      <x:c r="D418" s="52" t="str"/>
      <x:c r="E418" s="52" t="str">
        <x:v>ш</x:v>
      </x:c>
      <x:c r="F418" s="53" t="n">
        <x:v>10</x:v>
      </x:c>
      <x:c r="G418" s="54" t="n">
        <x:v>2300</x:v>
      </x:c>
      <x:c r="H418" s="54" t="n">
        <x:v>23000</x:v>
      </x:c>
      <x:c r="I418" s="54" t="n">
        <x:f>IF(AND(ISNUMBER(F418),ISNUMBER(G418)),ROUND(F418*G418,0),H418)</x:f>
        <x:v>23000</x:v>
      </x:c>
      <x:c r="J418" s="54" t="n">
        <x:f>I418-H418</x:f>
        <x:v>0</x:v>
      </x:c>
      <x:c r="K418" s="51" t="str">
        <x:v>Материал</x:v>
      </x:c>
      <x:c r="L418" s="51" t="str">
        <x:f>IF(J418=0,"OK","Шалгах")</x:f>
        <x:v>OK</x:v>
      </x:c>
      <x:c r="M418" s="51" t="str">
        <x:v>Сантехник</x:v>
      </x:c>
      <x:c r="N418" s="51" t="n">
        <x:v>124</x:v>
      </x:c>
    </x:row>
    <x:row r="419">
      <x:c r="A419" s="51" t="str">
        <x:v>MAT-6R-0405</x:v>
      </x:c>
      <x:c r="B419" s="52" t="str">
        <x:v>Хэрэгцээний халуун хүйтэн усны шугамын систем</x:v>
      </x:c>
      <x:c r="C419" s="52" t="str">
        <x:v>Ф32</x:v>
      </x:c>
      <x:c r="D419" s="52" t="str"/>
      <x:c r="E419" s="52" t="str">
        <x:v>ш</x:v>
      </x:c>
      <x:c r="F419" s="53" t="n">
        <x:v>8</x:v>
      </x:c>
      <x:c r="G419" s="54" t="n">
        <x:v>1400</x:v>
      </x:c>
      <x:c r="H419" s="54" t="n">
        <x:v>11200</x:v>
      </x:c>
      <x:c r="I419" s="54" t="n">
        <x:f>IF(AND(ISNUMBER(F419),ISNUMBER(G419)),ROUND(F419*G419,0),H419)</x:f>
        <x:v>11200</x:v>
      </x:c>
      <x:c r="J419" s="54" t="n">
        <x:f>I419-H419</x:f>
        <x:v>0</x:v>
      </x:c>
      <x:c r="K419" s="51" t="str">
        <x:v>Материал</x:v>
      </x:c>
      <x:c r="L419" s="51" t="str">
        <x:f>IF(J419=0,"OK","Шалгах")</x:f>
        <x:v>OK</x:v>
      </x:c>
      <x:c r="M419" s="51" t="str">
        <x:v>Сантехник</x:v>
      </x:c>
      <x:c r="N419" s="51" t="n">
        <x:v>125</x:v>
      </x:c>
    </x:row>
    <x:row r="420">
      <x:c r="A420" s="51" t="str">
        <x:v>MAT-6R-0406</x:v>
      </x:c>
      <x:c r="B420" s="52" t="str">
        <x:v>Хэрэгцээний халуун хүйтэн усны шугамын систем</x:v>
      </x:c>
      <x:c r="C420" s="52" t="str">
        <x:v>Шилжвэр [PPR] Ф76/63</x:v>
      </x:c>
      <x:c r="D420" s="52" t="str"/>
      <x:c r="E420" s="52" t="str">
        <x:v>ш</x:v>
      </x:c>
      <x:c r="F420" s="53" t="n">
        <x:v>2</x:v>
      </x:c>
      <x:c r="G420" s="54" t="n">
        <x:v>8100</x:v>
      </x:c>
      <x:c r="H420" s="54" t="n">
        <x:v>16200</x:v>
      </x:c>
      <x:c r="I420" s="54" t="n">
        <x:f>IF(AND(ISNUMBER(F420),ISNUMBER(G420)),ROUND(F420*G420,0),H420)</x:f>
        <x:v>16200</x:v>
      </x:c>
      <x:c r="J420" s="54" t="n">
        <x:f>I420-H420</x:f>
        <x:v>0</x:v>
      </x:c>
      <x:c r="K420" s="51" t="str">
        <x:v>Материал</x:v>
      </x:c>
      <x:c r="L420" s="51" t="str">
        <x:f>IF(J420=0,"OK","Шалгах")</x:f>
        <x:v>OK</x:v>
      </x:c>
      <x:c r="M420" s="51" t="str">
        <x:v>Сантехник</x:v>
      </x:c>
      <x:c r="N420" s="51" t="n">
        <x:v>126</x:v>
      </x:c>
    </x:row>
    <x:row r="421">
      <x:c r="A421" s="51" t="str">
        <x:v>MAT-6R-0407</x:v>
      </x:c>
      <x:c r="B421" s="52" t="str">
        <x:v>Хэрэгцээний халуун хүйтэн усны шугамын систем</x:v>
      </x:c>
      <x:c r="C421" s="52" t="str">
        <x:v>Ф63/50</x:v>
      </x:c>
      <x:c r="D421" s="52" t="str"/>
      <x:c r="E421" s="52" t="str">
        <x:v>ш</x:v>
      </x:c>
      <x:c r="F421" s="53" t="n">
        <x:v>2</x:v>
      </x:c>
      <x:c r="G421" s="54" t="n">
        <x:v>4900</x:v>
      </x:c>
      <x:c r="H421" s="54" t="n">
        <x:v>9800</x:v>
      </x:c>
      <x:c r="I421" s="54" t="n">
        <x:f>IF(AND(ISNUMBER(F421),ISNUMBER(G421)),ROUND(F421*G421,0),H421)</x:f>
        <x:v>9800</x:v>
      </x:c>
      <x:c r="J421" s="54" t="n">
        <x:f>I421-H421</x:f>
        <x:v>0</x:v>
      </x:c>
      <x:c r="K421" s="51" t="str">
        <x:v>Материал</x:v>
      </x:c>
      <x:c r="L421" s="51" t="str">
        <x:f>IF(J421=0,"OK","Шалгах")</x:f>
        <x:v>OK</x:v>
      </x:c>
      <x:c r="M421" s="51" t="str">
        <x:v>Сантехник</x:v>
      </x:c>
      <x:c r="N421" s="51" t="n">
        <x:v>127</x:v>
      </x:c>
    </x:row>
    <x:row r="422">
      <x:c r="A422" s="51" t="str">
        <x:v>MAT-6R-0408</x:v>
      </x:c>
      <x:c r="B422" s="52" t="str">
        <x:v>Хэрэгцээний халуун хүйтэн усны шугамын систем</x:v>
      </x:c>
      <x:c r="C422" s="52" t="str">
        <x:v>Ф50/40</x:v>
      </x:c>
      <x:c r="D422" s="52" t="str"/>
      <x:c r="E422" s="52" t="str">
        <x:v>ш</x:v>
      </x:c>
      <x:c r="F422" s="53" t="n">
        <x:v>2</x:v>
      </x:c>
      <x:c r="G422" s="54" t="n">
        <x:v>3000</x:v>
      </x:c>
      <x:c r="H422" s="54" t="n">
        <x:v>6000</x:v>
      </x:c>
      <x:c r="I422" s="54" t="n">
        <x:f>IF(AND(ISNUMBER(F422),ISNUMBER(G422)),ROUND(F422*G422,0),H422)</x:f>
        <x:v>6000</x:v>
      </x:c>
      <x:c r="J422" s="54" t="n">
        <x:f>I422-H422</x:f>
        <x:v>0</x:v>
      </x:c>
      <x:c r="K422" s="51" t="str">
        <x:v>Материал</x:v>
      </x:c>
      <x:c r="L422" s="51" t="str">
        <x:f>IF(J422=0,"OK","Шалгах")</x:f>
        <x:v>OK</x:v>
      </x:c>
      <x:c r="M422" s="51" t="str">
        <x:v>Сантехник</x:v>
      </x:c>
      <x:c r="N422" s="51" t="n">
        <x:v>128</x:v>
      </x:c>
    </x:row>
    <x:row r="423">
      <x:c r="A423" s="51" t="str">
        <x:v>MAT-6R-0409</x:v>
      </x:c>
      <x:c r="B423" s="52" t="str">
        <x:v>Хэрэгцээний халуун хүйтэн усны шугамын систем</x:v>
      </x:c>
      <x:c r="C423" s="52" t="str">
        <x:v>Ф40/32</x:v>
      </x:c>
      <x:c r="D423" s="52" t="str"/>
      <x:c r="E423" s="52" t="str">
        <x:v>ш</x:v>
      </x:c>
      <x:c r="F423" s="53" t="n">
        <x:v>2</x:v>
      </x:c>
      <x:c r="G423" s="54" t="n">
        <x:v>1500</x:v>
      </x:c>
      <x:c r="H423" s="54" t="n">
        <x:v>3000</x:v>
      </x:c>
      <x:c r="I423" s="54" t="n">
        <x:f>IF(AND(ISNUMBER(F423),ISNUMBER(G423)),ROUND(F423*G423,0),H423)</x:f>
        <x:v>3000</x:v>
      </x:c>
      <x:c r="J423" s="54" t="n">
        <x:f>I423-H423</x:f>
        <x:v>0</x:v>
      </x:c>
      <x:c r="K423" s="51" t="str">
        <x:v>Материал</x:v>
      </x:c>
      <x:c r="L423" s="51" t="str">
        <x:f>IF(J423=0,"OK","Шалгах")</x:f>
        <x:v>OK</x:v>
      </x:c>
      <x:c r="M423" s="51" t="str">
        <x:v>Сантехник</x:v>
      </x:c>
      <x:c r="N423" s="51" t="n">
        <x:v>129</x:v>
      </x:c>
    </x:row>
    <x:row r="424">
      <x:c r="A424" s="51" t="str">
        <x:v>MAT-6R-0410</x:v>
      </x:c>
      <x:c r="B424" s="52" t="str">
        <x:v>Хэрэгцээний халуун хүйтэн усны шугамын систем</x:v>
      </x:c>
      <x:c r="C424" s="52" t="str">
        <x:v>Тройник [PPR] Ф76*32</x:v>
      </x:c>
      <x:c r="D424" s="52" t="str"/>
      <x:c r="E424" s="52" t="str">
        <x:v>ш</x:v>
      </x:c>
      <x:c r="F424" s="53" t="n">
        <x:v>18</x:v>
      </x:c>
      <x:c r="G424" s="54" t="n">
        <x:v>13200</x:v>
      </x:c>
      <x:c r="H424" s="54" t="n">
        <x:v>237600</x:v>
      </x:c>
      <x:c r="I424" s="54" t="n">
        <x:f>IF(AND(ISNUMBER(F424),ISNUMBER(G424)),ROUND(F424*G424,0),H424)</x:f>
        <x:v>237600</x:v>
      </x:c>
      <x:c r="J424" s="54" t="n">
        <x:f>I424-H424</x:f>
        <x:v>0</x:v>
      </x:c>
      <x:c r="K424" s="51" t="str">
        <x:v>Материал</x:v>
      </x:c>
      <x:c r="L424" s="51" t="str">
        <x:f>IF(J424=0,"OK","Шалгах")</x:f>
        <x:v>OK</x:v>
      </x:c>
      <x:c r="M424" s="51" t="str">
        <x:v>Сантехник</x:v>
      </x:c>
      <x:c r="N424" s="51" t="n">
        <x:v>130</x:v>
      </x:c>
    </x:row>
    <x:row r="425">
      <x:c r="A425" s="51" t="str">
        <x:v>MAT-6R-0411</x:v>
      </x:c>
      <x:c r="B425" s="52" t="str">
        <x:v>Хэрэгцээний халуун хүйтэн усны шугамын систем</x:v>
      </x:c>
      <x:c r="C425" s="52" t="str">
        <x:v>Тройник [PPR] Ф63*32</x:v>
      </x:c>
      <x:c r="D425" s="52" t="str"/>
      <x:c r="E425" s="52" t="str">
        <x:v>ш</x:v>
      </x:c>
      <x:c r="F425" s="53" t="n">
        <x:v>6</x:v>
      </x:c>
      <x:c r="G425" s="54" t="n">
        <x:v>12600</x:v>
      </x:c>
      <x:c r="H425" s="54" t="n">
        <x:v>75600</x:v>
      </x:c>
      <x:c r="I425" s="54" t="n">
        <x:f>IF(AND(ISNUMBER(F425),ISNUMBER(G425)),ROUND(F425*G425,0),H425)</x:f>
        <x:v>75600</x:v>
      </x:c>
      <x:c r="J425" s="54" t="n">
        <x:f>I425-H425</x:f>
        <x:v>0</x:v>
      </x:c>
      <x:c r="K425" s="51" t="str">
        <x:v>Материал</x:v>
      </x:c>
      <x:c r="L425" s="51" t="str">
        <x:f>IF(J425=0,"OK","Шалгах")</x:f>
        <x:v>OK</x:v>
      </x:c>
      <x:c r="M425" s="51" t="str">
        <x:v>Сантехник</x:v>
      </x:c>
      <x:c r="N425" s="51" t="n">
        <x:v>131</x:v>
      </x:c>
    </x:row>
    <x:row r="426">
      <x:c r="A426" s="51" t="str">
        <x:v>MAT-6R-0412</x:v>
      </x:c>
      <x:c r="B426" s="52" t="str">
        <x:v>Хэрэгцээний халуун хүйтэн усны шугамын систем</x:v>
      </x:c>
      <x:c r="C426" s="52" t="str">
        <x:v>Тройник [PPR] Ф50*32</x:v>
      </x:c>
      <x:c r="D426" s="52" t="str"/>
      <x:c r="E426" s="52" t="str">
        <x:v>ш</x:v>
      </x:c>
      <x:c r="F426" s="53" t="n">
        <x:v>4</x:v>
      </x:c>
      <x:c r="G426" s="54" t="n">
        <x:v>6800</x:v>
      </x:c>
      <x:c r="H426" s="54" t="n">
        <x:v>27200</x:v>
      </x:c>
      <x:c r="I426" s="54" t="n">
        <x:f>IF(AND(ISNUMBER(F426),ISNUMBER(G426)),ROUND(F426*G426,0),H426)</x:f>
        <x:v>27200</x:v>
      </x:c>
      <x:c r="J426" s="54" t="n">
        <x:f>I426-H426</x:f>
        <x:v>0</x:v>
      </x:c>
      <x:c r="K426" s="51" t="str">
        <x:v>Материал</x:v>
      </x:c>
      <x:c r="L426" s="51" t="str">
        <x:f>IF(J426=0,"OK","Шалгах")</x:f>
        <x:v>OK</x:v>
      </x:c>
      <x:c r="M426" s="51" t="str">
        <x:v>Сантехник</x:v>
      </x:c>
      <x:c r="N426" s="51" t="n">
        <x:v>132</x:v>
      </x:c>
    </x:row>
    <x:row r="427">
      <x:c r="A427" s="51" t="str">
        <x:v>MAT-6R-0413</x:v>
      </x:c>
      <x:c r="B427" s="52" t="str">
        <x:v>Хэрэгцээний халуун хүйтэн усны шугамын систем</x:v>
      </x:c>
      <x:c r="C427" s="52" t="str">
        <x:v>Тройник [PPR] Ф40*32</x:v>
      </x:c>
      <x:c r="D427" s="52" t="str"/>
      <x:c r="E427" s="52" t="str">
        <x:v>ш</x:v>
      </x:c>
      <x:c r="F427" s="53" t="n">
        <x:v>9</x:v>
      </x:c>
      <x:c r="G427" s="54" t="n">
        <x:v>3700</x:v>
      </x:c>
      <x:c r="H427" s="54" t="n">
        <x:v>33300</x:v>
      </x:c>
      <x:c r="I427" s="54" t="n">
        <x:f>IF(AND(ISNUMBER(F427),ISNUMBER(G427)),ROUND(F427*G427,0),H427)</x:f>
        <x:v>33300</x:v>
      </x:c>
      <x:c r="J427" s="54" t="n">
        <x:f>I427-H427</x:f>
        <x:v>0</x:v>
      </x:c>
      <x:c r="K427" s="51" t="str">
        <x:v>Материал</x:v>
      </x:c>
      <x:c r="L427" s="51" t="str">
        <x:f>IF(J427=0,"OK","Шалгах")</x:f>
        <x:v>OK</x:v>
      </x:c>
      <x:c r="M427" s="51" t="str">
        <x:v>Сантехник</x:v>
      </x:c>
      <x:c r="N427" s="51" t="n">
        <x:v>133</x:v>
      </x:c>
    </x:row>
    <x:row r="428">
      <x:c r="A428" s="51" t="str">
        <x:v>MAT-6R-0414</x:v>
      </x:c>
      <x:c r="B428" s="52" t="str">
        <x:v>Хэрэгцээний халуун хүйтэн усны шугамын систем</x:v>
      </x:c>
      <x:c r="C428" s="52" t="str">
        <x:v>Тройник [PPR] Ф32*32</x:v>
      </x:c>
      <x:c r="D428" s="52" t="str"/>
      <x:c r="E428" s="52" t="str">
        <x:v>ш</x:v>
      </x:c>
      <x:c r="F428" s="53" t="n">
        <x:v>4</x:v>
      </x:c>
      <x:c r="G428" s="54" t="n">
        <x:v>1200</x:v>
      </x:c>
      <x:c r="H428" s="54" t="n">
        <x:v>4800</x:v>
      </x:c>
      <x:c r="I428" s="54" t="n">
        <x:f>IF(AND(ISNUMBER(F428),ISNUMBER(G428)),ROUND(F428*G428,0),H428)</x:f>
        <x:v>4800</x:v>
      </x:c>
      <x:c r="J428" s="54" t="n">
        <x:f>I428-H428</x:f>
        <x:v>0</x:v>
      </x:c>
      <x:c r="K428" s="51" t="str">
        <x:v>Материал</x:v>
      </x:c>
      <x:c r="L428" s="51" t="str">
        <x:f>IF(J428=0,"OK","Шалгах")</x:f>
        <x:v>OK</x:v>
      </x:c>
      <x:c r="M428" s="51" t="str">
        <x:v>Сантехник</x:v>
      </x:c>
      <x:c r="N428" s="51" t="n">
        <x:v>134</x:v>
      </x:c>
    </x:row>
    <x:row r="429">
      <x:c r="A429" s="51" t="str">
        <x:v>MAT-6R-0415</x:v>
      </x:c>
      <x:c r="B429" s="52" t="str">
        <x:v>Хэрэгцээний халуун хүйтэн усны шугамын систем</x:v>
      </x:c>
      <x:c r="C429" s="52" t="str">
        <x:v>Муфт [PPR] Ф76</x:v>
      </x:c>
      <x:c r="D429" s="52" t="str"/>
      <x:c r="E429" s="52" t="str">
        <x:v>ш</x:v>
      </x:c>
      <x:c r="F429" s="53" t="n">
        <x:v>8</x:v>
      </x:c>
      <x:c r="G429" s="54" t="n">
        <x:v>6500</x:v>
      </x:c>
      <x:c r="H429" s="54" t="n">
        <x:v>52000</x:v>
      </x:c>
      <x:c r="I429" s="54" t="n">
        <x:f>IF(AND(ISNUMBER(F429),ISNUMBER(G429)),ROUND(F429*G429,0),H429)</x:f>
        <x:v>52000</x:v>
      </x:c>
      <x:c r="J429" s="54" t="n">
        <x:f>I429-H429</x:f>
        <x:v>0</x:v>
      </x:c>
      <x:c r="K429" s="51" t="str">
        <x:v>Материал</x:v>
      </x:c>
      <x:c r="L429" s="51" t="str">
        <x:f>IF(J429=0,"OK","Шалгах")</x:f>
        <x:v>OK</x:v>
      </x:c>
      <x:c r="M429" s="51" t="str">
        <x:v>Сантехник</x:v>
      </x:c>
      <x:c r="N429" s="51" t="n">
        <x:v>135</x:v>
      </x:c>
    </x:row>
    <x:row r="430">
      <x:c r="A430" s="51" t="str">
        <x:v>MAT-6R-0416</x:v>
      </x:c>
      <x:c r="B430" s="52" t="str">
        <x:v>Хэрэгцээний халуун хүйтэн усны шугамын систем</x:v>
      </x:c>
      <x:c r="C430" s="52" t="str">
        <x:v>Муфт [PPR] Ф63</x:v>
      </x:c>
      <x:c r="D430" s="52" t="str"/>
      <x:c r="E430" s="52" t="str">
        <x:v>ш</x:v>
      </x:c>
      <x:c r="F430" s="53" t="n">
        <x:v>8</x:v>
      </x:c>
      <x:c r="G430" s="54" t="n">
        <x:v>5200</x:v>
      </x:c>
      <x:c r="H430" s="54" t="n">
        <x:v>41600</x:v>
      </x:c>
      <x:c r="I430" s="54" t="n">
        <x:f>IF(AND(ISNUMBER(F430),ISNUMBER(G430)),ROUND(F430*G430,0),H430)</x:f>
        <x:v>41600</x:v>
      </x:c>
      <x:c r="J430" s="54" t="n">
        <x:f>I430-H430</x:f>
        <x:v>0</x:v>
      </x:c>
      <x:c r="K430" s="51" t="str">
        <x:v>Материал</x:v>
      </x:c>
      <x:c r="L430" s="51" t="str">
        <x:f>IF(J430=0,"OK","Шалгах")</x:f>
        <x:v>OK</x:v>
      </x:c>
      <x:c r="M430" s="51" t="str">
        <x:v>Сантехник</x:v>
      </x:c>
      <x:c r="N430" s="51" t="n">
        <x:v>136</x:v>
      </x:c>
    </x:row>
    <x:row r="431">
      <x:c r="A431" s="51" t="str">
        <x:v>MAT-6R-0417</x:v>
      </x:c>
      <x:c r="B431" s="52" t="str">
        <x:v>Хэрэгцээний халуун хүйтэн усны шугамын систем</x:v>
      </x:c>
      <x:c r="C431" s="52" t="str">
        <x:v>Муфт [PPR] Ф50</x:v>
      </x:c>
      <x:c r="D431" s="52" t="str"/>
      <x:c r="E431" s="52" t="str">
        <x:v>ш</x:v>
      </x:c>
      <x:c r="F431" s="53" t="n">
        <x:v>8</x:v>
      </x:c>
      <x:c r="G431" s="54" t="n">
        <x:v>4100</x:v>
      </x:c>
      <x:c r="H431" s="54" t="n">
        <x:v>32800</x:v>
      </x:c>
      <x:c r="I431" s="54" t="n">
        <x:f>IF(AND(ISNUMBER(F431),ISNUMBER(G431)),ROUND(F431*G431,0),H431)</x:f>
        <x:v>32800</x:v>
      </x:c>
      <x:c r="J431" s="54" t="n">
        <x:f>I431-H431</x:f>
        <x:v>0</x:v>
      </x:c>
      <x:c r="K431" s="51" t="str">
        <x:v>Материал</x:v>
      </x:c>
      <x:c r="L431" s="51" t="str">
        <x:f>IF(J431=0,"OK","Шалгах")</x:f>
        <x:v>OK</x:v>
      </x:c>
      <x:c r="M431" s="51" t="str">
        <x:v>Сантехник</x:v>
      </x:c>
      <x:c r="N431" s="51" t="n">
        <x:v>137</x:v>
      </x:c>
    </x:row>
    <x:row r="432">
      <x:c r="A432" s="51" t="str">
        <x:v>MAT-6R-0418</x:v>
      </x:c>
      <x:c r="B432" s="52" t="str">
        <x:v>Хэрэгцээний халуун хүйтэн усны шугамын систем</x:v>
      </x:c>
      <x:c r="C432" s="52" t="str">
        <x:v>Хомут Ф76</x:v>
      </x:c>
      <x:c r="D432" s="52" t="str"/>
      <x:c r="E432" s="52" t="str">
        <x:v>ш</x:v>
      </x:c>
      <x:c r="F432" s="53" t="n">
        <x:v>40</x:v>
      </x:c>
      <x:c r="G432" s="54" t="n">
        <x:v>3500</x:v>
      </x:c>
      <x:c r="H432" s="54" t="n">
        <x:v>140000</x:v>
      </x:c>
      <x:c r="I432" s="54" t="n">
        <x:f>IF(AND(ISNUMBER(F432),ISNUMBER(G432)),ROUND(F432*G432,0),H432)</x:f>
        <x:v>140000</x:v>
      </x:c>
      <x:c r="J432" s="54" t="n">
        <x:f>I432-H432</x:f>
        <x:v>0</x:v>
      </x:c>
      <x:c r="K432" s="51" t="str">
        <x:v>Материал</x:v>
      </x:c>
      <x:c r="L432" s="51" t="str">
        <x:f>IF(J432=0,"OK","Шалгах")</x:f>
        <x:v>OK</x:v>
      </x:c>
      <x:c r="M432" s="51" t="str">
        <x:v>Сантехник</x:v>
      </x:c>
      <x:c r="N432" s="51" t="n">
        <x:v>138</x:v>
      </x:c>
    </x:row>
    <x:row r="433">
      <x:c r="A433" s="51" t="str">
        <x:v>MAT-6R-0419</x:v>
      </x:c>
      <x:c r="B433" s="52" t="str">
        <x:v>Хэрэгцээний халуун хүйтэн усны шугамын систем</x:v>
      </x:c>
      <x:c r="C433" s="52" t="str">
        <x:v>ХомутФ63</x:v>
      </x:c>
      <x:c r="D433" s="52" t="str"/>
      <x:c r="E433" s="52" t="str">
        <x:v>ш</x:v>
      </x:c>
      <x:c r="F433" s="53" t="n">
        <x:v>6</x:v>
      </x:c>
      <x:c r="G433" s="54" t="n">
        <x:v>3500</x:v>
      </x:c>
      <x:c r="H433" s="54" t="n">
        <x:v>21000</x:v>
      </x:c>
      <x:c r="I433" s="54" t="n">
        <x:f>IF(AND(ISNUMBER(F433),ISNUMBER(G433)),ROUND(F433*G433,0),H433)</x:f>
        <x:v>21000</x:v>
      </x:c>
      <x:c r="J433" s="54" t="n">
        <x:f>I433-H433</x:f>
        <x:v>0</x:v>
      </x:c>
      <x:c r="K433" s="51" t="str">
        <x:v>Материал</x:v>
      </x:c>
      <x:c r="L433" s="51" t="str">
        <x:f>IF(J433=0,"OK","Шалгах")</x:f>
        <x:v>OK</x:v>
      </x:c>
      <x:c r="M433" s="51" t="str">
        <x:v>Сантехник</x:v>
      </x:c>
      <x:c r="N433" s="51" t="n">
        <x:v>139</x:v>
      </x:c>
    </x:row>
    <x:row r="434">
      <x:c r="A434" s="51" t="str">
        <x:v>MAT-6R-0420</x:v>
      </x:c>
      <x:c r="B434" s="52" t="str">
        <x:v>Хэрэгцээний халуун хүйтэн усны шугамын систем</x:v>
      </x:c>
      <x:c r="C434" s="52" t="str">
        <x:v>ХомутФ50</x:v>
      </x:c>
      <x:c r="D434" s="52" t="str"/>
      <x:c r="E434" s="52" t="str">
        <x:v>ш</x:v>
      </x:c>
      <x:c r="F434" s="53" t="n">
        <x:v>8</x:v>
      </x:c>
      <x:c r="G434" s="54" t="n">
        <x:v>3400</x:v>
      </x:c>
      <x:c r="H434" s="54" t="n">
        <x:v>27200</x:v>
      </x:c>
      <x:c r="I434" s="54" t="n">
        <x:f>IF(AND(ISNUMBER(F434),ISNUMBER(G434)),ROUND(F434*G434,0),H434)</x:f>
        <x:v>27200</x:v>
      </x:c>
      <x:c r="J434" s="54" t="n">
        <x:f>I434-H434</x:f>
        <x:v>0</x:v>
      </x:c>
      <x:c r="K434" s="51" t="str">
        <x:v>Материал</x:v>
      </x:c>
      <x:c r="L434" s="51" t="str">
        <x:f>IF(J434=0,"OK","Шалгах")</x:f>
        <x:v>OK</x:v>
      </x:c>
      <x:c r="M434" s="51" t="str">
        <x:v>Сантехник</x:v>
      </x:c>
      <x:c r="N434" s="51" t="n">
        <x:v>140</x:v>
      </x:c>
    </x:row>
    <x:row r="435">
      <x:c r="A435" s="51" t="str">
        <x:v>MAT-6R-0421</x:v>
      </x:c>
      <x:c r="B435" s="52" t="str">
        <x:v>Хэрэгцээний халуун хүйтэн усны шугамын систем</x:v>
      </x:c>
      <x:c r="C435" s="52" t="str">
        <x:v>ХомутФ40</x:v>
      </x:c>
      <x:c r="D435" s="52" t="str"/>
      <x:c r="E435" s="52" t="str">
        <x:v>ш</x:v>
      </x:c>
      <x:c r="F435" s="53" t="n">
        <x:v>8</x:v>
      </x:c>
      <x:c r="G435" s="54" t="n">
        <x:v>3300</x:v>
      </x:c>
      <x:c r="H435" s="54" t="n">
        <x:v>26400</x:v>
      </x:c>
      <x:c r="I435" s="54" t="n">
        <x:f>IF(AND(ISNUMBER(F435),ISNUMBER(G435)),ROUND(F435*G435,0),H435)</x:f>
        <x:v>26400</x:v>
      </x:c>
      <x:c r="J435" s="54" t="n">
        <x:f>I435-H435</x:f>
        <x:v>0</x:v>
      </x:c>
      <x:c r="K435" s="51" t="str">
        <x:v>Материал</x:v>
      </x:c>
      <x:c r="L435" s="51" t="str">
        <x:f>IF(J435=0,"OK","Шалгах")</x:f>
        <x:v>OK</x:v>
      </x:c>
      <x:c r="M435" s="51" t="str">
        <x:v>Сантехник</x:v>
      </x:c>
      <x:c r="N435" s="51" t="n">
        <x:v>141</x:v>
      </x:c>
    </x:row>
    <x:row r="436">
      <x:c r="A436" s="51" t="str">
        <x:v>MAT-6R-0422</x:v>
      </x:c>
      <x:c r="B436" s="52" t="str">
        <x:v>Хэрэгцээний халуун хүйтэн усны шугамын систем</x:v>
      </x:c>
      <x:c r="C436" s="52" t="str">
        <x:v>ХомутФ32</x:v>
      </x:c>
      <x:c r="D436" s="52" t="str"/>
      <x:c r="E436" s="52" t="str">
        <x:v>ш</x:v>
      </x:c>
      <x:c r="F436" s="53" t="n">
        <x:v>34</x:v>
      </x:c>
      <x:c r="G436" s="54" t="n">
        <x:v>2600</x:v>
      </x:c>
      <x:c r="H436" s="54" t="n">
        <x:v>88400</x:v>
      </x:c>
      <x:c r="I436" s="54" t="n">
        <x:f>IF(AND(ISNUMBER(F436),ISNUMBER(G436)),ROUND(F436*G436,0),H436)</x:f>
        <x:v>88400</x:v>
      </x:c>
      <x:c r="J436" s="54" t="n">
        <x:f>I436-H436</x:f>
        <x:v>0</x:v>
      </x:c>
      <x:c r="K436" s="51" t="str">
        <x:v>Материал</x:v>
      </x:c>
      <x:c r="L436" s="51" t="str">
        <x:f>IF(J436=0,"OK","Шалгах")</x:f>
        <x:v>OK</x:v>
      </x:c>
      <x:c r="M436" s="51" t="str">
        <x:v>Сантехник</x:v>
      </x:c>
      <x:c r="N436" s="51" t="n">
        <x:v>142</x:v>
      </x:c>
    </x:row>
    <x:row r="437">
      <x:c r="A437" s="51" t="str">
        <x:v>MAT-6R-0423</x:v>
      </x:c>
      <x:c r="B437" s="52" t="str">
        <x:v>Хэрэгцээний халуун хүйтэн усны шугамын систем</x:v>
      </x:c>
      <x:c r="C437" s="52" t="str">
        <x:v>Чихтэй булан [PVC] Ф15</x:v>
      </x:c>
      <x:c r="D437" s="52" t="str"/>
      <x:c r="E437" s="52" t="str">
        <x:v>ш</x:v>
      </x:c>
      <x:c r="F437" s="53" t="n">
        <x:v>1240</x:v>
      </x:c>
      <x:c r="G437" s="54" t="n">
        <x:v>10450</x:v>
      </x:c>
      <x:c r="H437" s="54" t="n">
        <x:v>12958000</x:v>
      </x:c>
      <x:c r="I437" s="54" t="n">
        <x:f>IF(AND(ISNUMBER(F437),ISNUMBER(G437)),ROUND(F437*G437,0),H437)</x:f>
        <x:v>12958000</x:v>
      </x:c>
      <x:c r="J437" s="54" t="n">
        <x:f>I437-H437</x:f>
        <x:v>0</x:v>
      </x:c>
      <x:c r="K437" s="51" t="str">
        <x:v>Материал</x:v>
      </x:c>
      <x:c r="L437" s="51" t="str">
        <x:f>IF(J437=0,"OK","Шалгах")</x:f>
        <x:v>OK</x:v>
      </x:c>
      <x:c r="M437" s="51" t="str">
        <x:v>Сантехник</x:v>
      </x:c>
      <x:c r="N437" s="51" t="n">
        <x:v>143</x:v>
      </x:c>
    </x:row>
    <x:row r="438">
      <x:c r="A438" s="51" t="str">
        <x:v>MAT-6R-0424</x:v>
      </x:c>
      <x:c r="B438" s="52" t="str">
        <x:v>Хэрэгцээний халуун хүйтэн усны шугамын систем</x:v>
      </x:c>
      <x:c r="C438" s="52" t="str">
        <x:v>Хос чихтэй булангийн хэмжээст</x:v>
      </x:c>
      <x:c r="D438" s="52" t="str"/>
      <x:c r="E438" s="52" t="str">
        <x:v>ш</x:v>
      </x:c>
      <x:c r="F438" s="53" t="n">
        <x:v>189</x:v>
      </x:c>
      <x:c r="G438" s="54" t="n">
        <x:v>12000</x:v>
      </x:c>
      <x:c r="H438" s="54" t="n">
        <x:v>2268000</x:v>
      </x:c>
      <x:c r="I438" s="54" t="n">
        <x:f>IF(AND(ISNUMBER(F438),ISNUMBER(G438)),ROUND(F438*G438,0),H438)</x:f>
        <x:v>2268000</x:v>
      </x:c>
      <x:c r="J438" s="54" t="n">
        <x:f>I438-H438</x:f>
        <x:v>0</x:v>
      </x:c>
      <x:c r="K438" s="51" t="str">
        <x:v>Материал</x:v>
      </x:c>
      <x:c r="L438" s="51" t="str">
        <x:f>IF(J438=0,"OK","Шалгах")</x:f>
        <x:v>OK</x:v>
      </x:c>
      <x:c r="M438" s="51" t="str">
        <x:v>Сантехник</x:v>
      </x:c>
      <x:c r="N438" s="51" t="n">
        <x:v>144</x:v>
      </x:c>
    </x:row>
    <x:row r="439">
      <x:c r="A439" s="51" t="str">
        <x:v>MAT-6R-0425</x:v>
      </x:c>
      <x:c r="B439" s="52" t="str">
        <x:v>Хэрэгцээний халуун хүйтэн усны шугамын систем</x:v>
      </x:c>
      <x:c r="C439" s="52" t="str">
        <x:v>Хэ.Ха.Хүйтэн усны винтель/аваарын/ ф15</x:v>
      </x:c>
      <x:c r="D439" s="52" t="str"/>
      <x:c r="E439" s="52" t="str">
        <x:v>ш</x:v>
      </x:c>
      <x:c r="F439" s="53" t="n">
        <x:v>910</x:v>
      </x:c>
      <x:c r="G439" s="54" t="n">
        <x:v>31000</x:v>
      </x:c>
      <x:c r="H439" s="54" t="n">
        <x:v>28210000</x:v>
      </x:c>
      <x:c r="I439" s="54" t="n">
        <x:f>IF(AND(ISNUMBER(F439),ISNUMBER(G439)),ROUND(F439*G439,0),H439)</x:f>
        <x:v>28210000</x:v>
      </x:c>
      <x:c r="J439" s="54" t="n">
        <x:f>I439-H439</x:f>
        <x:v>0</x:v>
      </x:c>
      <x:c r="K439" s="51" t="str">
        <x:v>Материал</x:v>
      </x:c>
      <x:c r="L439" s="51" t="str">
        <x:f>IF(J439=0,"OK","Шалгах")</x:f>
        <x:v>OK</x:v>
      </x:c>
      <x:c r="M439" s="51" t="str">
        <x:v>Сантехник</x:v>
      </x:c>
      <x:c r="N439" s="51" t="n">
        <x:v>145</x:v>
      </x:c>
    </x:row>
    <x:row r="440">
      <x:c r="A440" s="51" t="str">
        <x:v>MAT-6R-0426</x:v>
      </x:c>
      <x:c r="B440" s="52" t="str">
        <x:v>Хэрэгцээний халуун хүйтэн усны шугамын систем</x:v>
      </x:c>
      <x:c r="C440" s="52" t="str">
        <x:v>Ф15 PVC Тройник</x:v>
      </x:c>
      <x:c r="D440" s="52" t="str"/>
      <x:c r="E440" s="52" t="str">
        <x:v>ш</x:v>
      </x:c>
      <x:c r="F440" s="53" t="n">
        <x:v>26</x:v>
      </x:c>
      <x:c r="G440" s="54" t="n">
        <x:v>15950.000000000002</x:v>
      </x:c>
      <x:c r="H440" s="54" t="n">
        <x:v>414700</x:v>
      </x:c>
      <x:c r="I440" s="54" t="n">
        <x:f>IF(AND(ISNUMBER(F440),ISNUMBER(G440)),ROUND(F440*G440,0),H440)</x:f>
        <x:v>414700</x:v>
      </x:c>
      <x:c r="J440" s="54" t="n">
        <x:f>I440-H440</x:f>
        <x:v>0</x:v>
      </x:c>
      <x:c r="K440" s="51" t="str">
        <x:v>Материал</x:v>
      </x:c>
      <x:c r="L440" s="51" t="str">
        <x:f>IF(J440=0,"OK","Шалгах")</x:f>
        <x:v>OK</x:v>
      </x:c>
      <x:c r="M440" s="51" t="str">
        <x:v>Сантехник</x:v>
      </x:c>
      <x:c r="N440" s="51" t="n">
        <x:v>146</x:v>
      </x:c>
    </x:row>
    <x:row r="441">
      <x:c r="A441" s="51" t="str">
        <x:v>MAT-6R-0427</x:v>
      </x:c>
      <x:c r="B441" s="52" t="str">
        <x:v>Хэрэгцээний халуун хүйтэн усны шугамын систем</x:v>
      </x:c>
      <x:c r="C441" s="52" t="str">
        <x:v>Ф20 PVC Хоолой</x:v>
      </x:c>
      <x:c r="D441" s="52" t="str"/>
      <x:c r="E441" s="52" t="str">
        <x:v>у/м</x:v>
      </x:c>
      <x:c r="F441" s="53" t="n">
        <x:v>1600</x:v>
      </x:c>
      <x:c r="G441" s="54" t="n">
        <x:v>4950</x:v>
      </x:c>
      <x:c r="H441" s="54" t="n">
        <x:v>7920000</x:v>
      </x:c>
      <x:c r="I441" s="54" t="n">
        <x:f>IF(AND(ISNUMBER(F441),ISNUMBER(G441)),ROUND(F441*G441,0),H441)</x:f>
        <x:v>7920000</x:v>
      </x:c>
      <x:c r="J441" s="54" t="n">
        <x:f>I441-H441</x:f>
        <x:v>0</x:v>
      </x:c>
      <x:c r="K441" s="51" t="str">
        <x:v>Материал</x:v>
      </x:c>
      <x:c r="L441" s="51" t="str">
        <x:f>IF(J441=0,"OK","Шалгах")</x:f>
        <x:v>OK</x:v>
      </x:c>
      <x:c r="M441" s="51" t="str">
        <x:v>Сантехник</x:v>
      </x:c>
      <x:c r="N441" s="51" t="n">
        <x:v>147</x:v>
      </x:c>
    </x:row>
    <x:row r="442">
      <x:c r="A442" s="51" t="str">
        <x:v>MAT-6R-0428</x:v>
      </x:c>
      <x:c r="B442" s="52" t="str">
        <x:v>Хэрэгцээний халуун хүйтэн усны шугамын систем</x:v>
      </x:c>
      <x:c r="C442" s="52" t="str">
        <x:v>Ф76 Фланц [PPR]</x:v>
      </x:c>
      <x:c r="D442" s="52" t="str"/>
      <x:c r="E442" s="52" t="str">
        <x:v>ш</x:v>
      </x:c>
      <x:c r="F442" s="53" t="n">
        <x:v>2</x:v>
      </x:c>
      <x:c r="G442" s="54" t="n">
        <x:v>115500.00000000001</x:v>
      </x:c>
      <x:c r="H442" s="54" t="n">
        <x:v>231000</x:v>
      </x:c>
      <x:c r="I442" s="54" t="n">
        <x:f>IF(AND(ISNUMBER(F442),ISNUMBER(G442)),ROUND(F442*G442,0),H442)</x:f>
        <x:v>231000</x:v>
      </x:c>
      <x:c r="J442" s="54" t="n">
        <x:f>I442-H442</x:f>
        <x:v>0</x:v>
      </x:c>
      <x:c r="K442" s="51" t="str">
        <x:v>Материал</x:v>
      </x:c>
      <x:c r="L442" s="51" t="str">
        <x:f>IF(J442=0,"OK","Шалгах")</x:f>
        <x:v>OK</x:v>
      </x:c>
      <x:c r="M442" s="51" t="str">
        <x:v>Сантехник</x:v>
      </x:c>
      <x:c r="N442" s="51" t="n">
        <x:v>148</x:v>
      </x:c>
    </x:row>
    <x:row r="443">
      <x:c r="A443" s="51" t="str">
        <x:v>MAT-6R-0429</x:v>
      </x:c>
      <x:c r="B443" s="52" t="str">
        <x:v>Хэрэгцээний халуун хүйтэн усны шугамын систем</x:v>
      </x:c>
      <x:c r="C443" s="52" t="str">
        <x:v>Ф40 Фланц [PPR]</x:v>
      </x:c>
      <x:c r="D443" s="52" t="str"/>
      <x:c r="E443" s="52" t="str">
        <x:v>ш</x:v>
      </x:c>
      <x:c r="F443" s="53" t="n">
        <x:v>1</x:v>
      </x:c>
      <x:c r="G443" s="54" t="n">
        <x:v>88000</x:v>
      </x:c>
      <x:c r="H443" s="54" t="n">
        <x:v>88000</x:v>
      </x:c>
      <x:c r="I443" s="54" t="n">
        <x:f>IF(AND(ISNUMBER(F443),ISNUMBER(G443)),ROUND(F443*G443,0),H443)</x:f>
        <x:v>88000</x:v>
      </x:c>
      <x:c r="J443" s="54" t="n">
        <x:f>I443-H443</x:f>
        <x:v>0</x:v>
      </x:c>
      <x:c r="K443" s="51" t="str">
        <x:v>Материал</x:v>
      </x:c>
      <x:c r="L443" s="51" t="str">
        <x:f>IF(J443=0,"OK","Шалгах")</x:f>
        <x:v>OK</x:v>
      </x:c>
      <x:c r="M443" s="51" t="str">
        <x:v>Сантехник</x:v>
      </x:c>
      <x:c r="N443" s="51" t="n">
        <x:v>149</x:v>
      </x:c>
    </x:row>
    <x:row r="444">
      <x:c r="A444" s="51" t="str">
        <x:v>MAT-6R-0430</x:v>
      </x:c>
      <x:c r="B444" s="52" t="str">
        <x:v>Хэ.Ха.Хүйтэн усны коллектор</x:v>
      </x:c>
      <x:c r="C444" s="52" t="str">
        <x:v>Ф32*20 тройник [PPR]</x:v>
      </x:c>
      <x:c r="D444" s="52" t="str"/>
      <x:c r="E444" s="52" t="str">
        <x:v>ш</x:v>
      </x:c>
      <x:c r="F444" s="53" t="n">
        <x:v>238</x:v>
      </x:c>
      <x:c r="G444" s="54" t="n">
        <x:v>1500</x:v>
      </x:c>
      <x:c r="H444" s="54" t="n">
        <x:v>357000</x:v>
      </x:c>
      <x:c r="I444" s="54" t="n">
        <x:f>IF(AND(ISNUMBER(F444),ISNUMBER(G444)),ROUND(F444*G444,0),H444)</x:f>
        <x:v>357000</x:v>
      </x:c>
      <x:c r="J444" s="54" t="n">
        <x:f>I444-H444</x:f>
        <x:v>0</x:v>
      </x:c>
      <x:c r="K444" s="51" t="str">
        <x:v>Материал</x:v>
      </x:c>
      <x:c r="L444" s="51" t="str">
        <x:f>IF(J444=0,"OK","Шалгах")</x:f>
        <x:v>OK</x:v>
      </x:c>
      <x:c r="M444" s="51" t="str">
        <x:v>Сантехник</x:v>
      </x:c>
      <x:c r="N444" s="51" t="n">
        <x:v>151</x:v>
      </x:c>
    </x:row>
    <x:row r="445">
      <x:c r="A445" s="51" t="str">
        <x:v>MAT-6R-0431</x:v>
      </x:c>
      <x:c r="B445" s="52" t="str">
        <x:v>Хэ.Ха.Хүйтэн усны коллектор</x:v>
      </x:c>
      <x:c r="C445" s="52" t="str">
        <x:v>Ф32*20 булан [PPR]</x:v>
      </x:c>
      <x:c r="D445" s="52" t="str"/>
      <x:c r="E445" s="52" t="str">
        <x:v>ш</x:v>
      </x:c>
      <x:c r="F445" s="53" t="n">
        <x:v>34</x:v>
      </x:c>
      <x:c r="G445" s="54" t="n">
        <x:v>5000</x:v>
      </x:c>
      <x:c r="H445" s="54" t="n">
        <x:v>170000</x:v>
      </x:c>
      <x:c r="I445" s="54" t="n">
        <x:f>IF(AND(ISNUMBER(F445),ISNUMBER(G445)),ROUND(F445*G445,0),H445)</x:f>
        <x:v>170000</x:v>
      </x:c>
      <x:c r="J445" s="54" t="n">
        <x:f>I445-H445</x:f>
        <x:v>0</x:v>
      </x:c>
      <x:c r="K445" s="51" t="str">
        <x:v>Материал</x:v>
      </x:c>
      <x:c r="L445" s="51" t="str">
        <x:f>IF(J445=0,"OK","Шалгах")</x:f>
        <x:v>OK</x:v>
      </x:c>
      <x:c r="M445" s="51" t="str">
        <x:v>Сантехник</x:v>
      </x:c>
      <x:c r="N445" s="51" t="n">
        <x:v>152</x:v>
      </x:c>
    </x:row>
    <x:row r="446">
      <x:c r="A446" s="51" t="str">
        <x:v>MAT-6R-0432</x:v>
      </x:c>
      <x:c r="B446" s="52" t="str">
        <x:v>Хэ.Ха.Хүйтэн усны коллектор</x:v>
      </x:c>
      <x:c r="C446" s="52" t="str">
        <x:v>Ф32/25 гадна резбатай үзүүр[PPR]</x:v>
      </x:c>
      <x:c r="D446" s="52" t="str"/>
      <x:c r="E446" s="52" t="str">
        <x:v>ш</x:v>
      </x:c>
      <x:c r="F446" s="53" t="n">
        <x:v>34</x:v>
      </x:c>
      <x:c r="G446" s="54" t="n">
        <x:v>6500</x:v>
      </x:c>
      <x:c r="H446" s="54" t="n">
        <x:v>221000</x:v>
      </x:c>
      <x:c r="I446" s="54" t="n">
        <x:f>IF(AND(ISNUMBER(F446),ISNUMBER(G446)),ROUND(F446*G446,0),H446)</x:f>
        <x:v>221000</x:v>
      </x:c>
      <x:c r="J446" s="54" t="n">
        <x:f>I446-H446</x:f>
        <x:v>0</x:v>
      </x:c>
      <x:c r="K446" s="51" t="str">
        <x:v>Материал</x:v>
      </x:c>
      <x:c r="L446" s="51" t="str">
        <x:f>IF(J446=0,"OK","Шалгах")</x:f>
        <x:v>OK</x:v>
      </x:c>
      <x:c r="M446" s="51" t="str">
        <x:v>Сантехник</x:v>
      </x:c>
      <x:c r="N446" s="51" t="n">
        <x:v>153</x:v>
      </x:c>
    </x:row>
    <x:row r="447">
      <x:c r="A447" s="51" t="str">
        <x:v>MAT-6R-0433</x:v>
      </x:c>
      <x:c r="B447" s="52" t="str">
        <x:v>Хэ.Ха.Хүйтэн усны коллектор</x:v>
      </x:c>
      <x:c r="C447" s="52" t="str">
        <x:v>Ф32/25 дотор резбатай үзүүр[PPR]</x:v>
      </x:c>
      <x:c r="D447" s="52" t="str"/>
      <x:c r="E447" s="52" t="str">
        <x:v>ш</x:v>
      </x:c>
      <x:c r="F447" s="53" t="n">
        <x:v>34</x:v>
      </x:c>
      <x:c r="G447" s="54" t="n">
        <x:v>5500</x:v>
      </x:c>
      <x:c r="H447" s="54" t="n">
        <x:v>187000</x:v>
      </x:c>
      <x:c r="I447" s="54" t="n">
        <x:f>IF(AND(ISNUMBER(F447),ISNUMBER(G447)),ROUND(F447*G447,0),H447)</x:f>
        <x:v>187000</x:v>
      </x:c>
      <x:c r="J447" s="54" t="n">
        <x:f>I447-H447</x:f>
        <x:v>0</x:v>
      </x:c>
      <x:c r="K447" s="51" t="str">
        <x:v>Материал</x:v>
      </x:c>
      <x:c r="L447" s="51" t="str">
        <x:f>IF(J447=0,"OK","Шалгах")</x:f>
        <x:v>OK</x:v>
      </x:c>
      <x:c r="M447" s="51" t="str">
        <x:v>Сантехник</x:v>
      </x:c>
      <x:c r="N447" s="51" t="n">
        <x:v>154</x:v>
      </x:c>
    </x:row>
    <x:row r="448">
      <x:c r="A448" s="51" t="str">
        <x:v>MAT-6R-0434</x:v>
      </x:c>
      <x:c r="B448" s="52" t="str">
        <x:v>Хэ.Ха.Хүйтэн усны коллектор</x:v>
      </x:c>
      <x:c r="C448" s="52" t="str">
        <x:v>Ф20 халуун усны хаалт [PPR]</x:v>
      </x:c>
      <x:c r="D448" s="52" t="str"/>
      <x:c r="E448" s="52" t="str">
        <x:v>ш</x:v>
      </x:c>
      <x:c r="F448" s="53" t="n">
        <x:v>136</x:v>
      </x:c>
      <x:c r="G448" s="54" t="n">
        <x:v>24000</x:v>
      </x:c>
      <x:c r="H448" s="54" t="n">
        <x:v>3264000</x:v>
      </x:c>
      <x:c r="I448" s="54" t="n">
        <x:f>IF(AND(ISNUMBER(F448),ISNUMBER(G448)),ROUND(F448*G448,0),H448)</x:f>
        <x:v>3264000</x:v>
      </x:c>
      <x:c r="J448" s="54" t="n">
        <x:f>I448-H448</x:f>
        <x:v>0</x:v>
      </x:c>
      <x:c r="K448" s="51" t="str">
        <x:v>Материал</x:v>
      </x:c>
      <x:c r="L448" s="51" t="str">
        <x:f>IF(J448=0,"OK","Шалгах")</x:f>
        <x:v>OK</x:v>
      </x:c>
      <x:c r="M448" s="51" t="str">
        <x:v>Сантехник</x:v>
      </x:c>
      <x:c r="N448" s="51" t="n">
        <x:v>155</x:v>
      </x:c>
    </x:row>
    <x:row r="449">
      <x:c r="A449" s="51" t="str">
        <x:v>MAT-6R-0435</x:v>
      </x:c>
      <x:c r="B449" s="52" t="str">
        <x:v>Хэ.Ха.Хүйтэн усны коллектор</x:v>
      </x:c>
      <x:c r="C449" s="52" t="str">
        <x:v>Ф20 хүйтэн усны хаалт [PPR]</x:v>
      </x:c>
      <x:c r="D449" s="52" t="str"/>
      <x:c r="E449" s="52" t="str">
        <x:v>ш</x:v>
      </x:c>
      <x:c r="F449" s="53" t="n">
        <x:v>136</x:v>
      </x:c>
      <x:c r="G449" s="54" t="n">
        <x:v>24000</x:v>
      </x:c>
      <x:c r="H449" s="54" t="n">
        <x:v>3264000</x:v>
      </x:c>
      <x:c r="I449" s="54" t="n">
        <x:f>IF(AND(ISNUMBER(F449),ISNUMBER(G449)),ROUND(F449*G449,0),H449)</x:f>
        <x:v>3264000</x:v>
      </x:c>
      <x:c r="J449" s="54" t="n">
        <x:f>I449-H449</x:f>
        <x:v>0</x:v>
      </x:c>
      <x:c r="K449" s="51" t="str">
        <x:v>Материал</x:v>
      </x:c>
      <x:c r="L449" s="51" t="str">
        <x:f>IF(J449=0,"OK","Шалгах")</x:f>
        <x:v>OK</x:v>
      </x:c>
      <x:c r="M449" s="51" t="str">
        <x:v>Сантехник</x:v>
      </x:c>
      <x:c r="N449" s="51" t="n">
        <x:v>156</x:v>
      </x:c>
    </x:row>
    <x:row r="450">
      <x:c r="A450" s="51" t="str">
        <x:v>MAT-6R-0436</x:v>
      </x:c>
      <x:c r="B450" s="52" t="str">
        <x:v>Хэ.Ха.Хүйтэн усны коллектор</x:v>
      </x:c>
      <x:c r="C450" s="52" t="str">
        <x:v>Ф25 Хог шүүгчтэй салдаг хаалт</x:v>
      </x:c>
      <x:c r="D450" s="52" t="str"/>
      <x:c r="E450" s="52" t="str">
        <x:v>ш</x:v>
      </x:c>
      <x:c r="F450" s="53" t="n">
        <x:v>34</x:v>
      </x:c>
      <x:c r="G450" s="54" t="n">
        <x:v>12000</x:v>
      </x:c>
      <x:c r="H450" s="54" t="n">
        <x:v>408000</x:v>
      </x:c>
      <x:c r="I450" s="54" t="n">
        <x:f>IF(AND(ISNUMBER(F450),ISNUMBER(G450)),ROUND(F450*G450,0),H450)</x:f>
        <x:v>408000</x:v>
      </x:c>
      <x:c r="J450" s="54" t="n">
        <x:f>I450-H450</x:f>
        <x:v>0</x:v>
      </x:c>
      <x:c r="K450" s="51" t="str">
        <x:v>Материал</x:v>
      </x:c>
      <x:c r="L450" s="51" t="str">
        <x:f>IF(J450=0,"OK","Шалгах")</x:f>
        <x:v>OK</x:v>
      </x:c>
      <x:c r="M450" s="51" t="str">
        <x:v>Сантехник</x:v>
      </x:c>
      <x:c r="N450" s="51" t="n">
        <x:v>157</x:v>
      </x:c>
    </x:row>
    <x:row r="451">
      <x:c r="A451" s="51" t="str">
        <x:v>MAT-6R-0437</x:v>
      </x:c>
      <x:c r="B451" s="52" t="str">
        <x:v>Хэ.Ха.Хүйтэн усны коллектор</x:v>
      </x:c>
      <x:c r="C451" s="52" t="str">
        <x:v>Ф32 хомут</x:v>
      </x:c>
      <x:c r="D451" s="52" t="str"/>
      <x:c r="E451" s="52" t="str">
        <x:v>ш</x:v>
      </x:c>
      <x:c r="F451" s="53" t="n">
        <x:v>64</x:v>
      </x:c>
      <x:c r="G451" s="54" t="n">
        <x:v>2600</x:v>
      </x:c>
      <x:c r="H451" s="54" t="n">
        <x:v>166400</x:v>
      </x:c>
      <x:c r="I451" s="54" t="n">
        <x:f>IF(AND(ISNUMBER(F451),ISNUMBER(G451)),ROUND(F451*G451,0),H451)</x:f>
        <x:v>166400</x:v>
      </x:c>
      <x:c r="J451" s="54" t="n">
        <x:f>I451-H451</x:f>
        <x:v>0</x:v>
      </x:c>
      <x:c r="K451" s="51" t="str">
        <x:v>Материал</x:v>
      </x:c>
      <x:c r="L451" s="51" t="str">
        <x:f>IF(J451=0,"OK","Шалгах")</x:f>
        <x:v>OK</x:v>
      </x:c>
      <x:c r="M451" s="51" t="str">
        <x:v>Сантехник</x:v>
      </x:c>
      <x:c r="N451" s="51" t="n">
        <x:v>158</x:v>
      </x:c>
    </x:row>
    <x:row r="452">
      <x:c r="A452" s="51" t="str">
        <x:v>MAT-6R-0438</x:v>
      </x:c>
      <x:c r="B452" s="52" t="str">
        <x:v>Хэ.Ха.Хүйтэн усны коллектор</x:v>
      </x:c>
      <x:c r="C452" s="52" t="str">
        <x:v>Ф20/15 дотор резбатай үзүүр[PPR]</x:v>
      </x:c>
      <x:c r="D452" s="52" t="str"/>
      <x:c r="E452" s="52" t="str">
        <x:v>ш</x:v>
      </x:c>
      <x:c r="F452" s="53" t="n">
        <x:v>137</x:v>
      </x:c>
      <x:c r="G452" s="54" t="n">
        <x:v>3700</x:v>
      </x:c>
      <x:c r="H452" s="54" t="n">
        <x:v>506900</x:v>
      </x:c>
      <x:c r="I452" s="54" t="n">
        <x:f>IF(AND(ISNUMBER(F452),ISNUMBER(G452)),ROUND(F452*G452,0),H452)</x:f>
        <x:v>506900</x:v>
      </x:c>
      <x:c r="J452" s="54" t="n">
        <x:f>I452-H452</x:f>
        <x:v>0</x:v>
      </x:c>
      <x:c r="K452" s="51" t="str">
        <x:v>Материал</x:v>
      </x:c>
      <x:c r="L452" s="51" t="str">
        <x:f>IF(J452=0,"OK","Шалгах")</x:f>
        <x:v>OK</x:v>
      </x:c>
      <x:c r="M452" s="51" t="str">
        <x:v>Сантехник</x:v>
      </x:c>
      <x:c r="N452" s="51" t="n">
        <x:v>159</x:v>
      </x:c>
    </x:row>
    <x:row r="453">
      <x:c r="A453" s="51" t="str">
        <x:v>MAT-6R-0439</x:v>
      </x:c>
      <x:c r="B453" s="52" t="str">
        <x:v>Хэ.Ха.Хүйтэн усны коллектор</x:v>
      </x:c>
      <x:c r="C453" s="52" t="str">
        <x:v>Ф20/15 дотор резбатай үзүүр[PVC]</x:v>
      </x:c>
      <x:c r="D453" s="52" t="str"/>
      <x:c r="E453" s="52" t="str">
        <x:v>ш</x:v>
      </x:c>
      <x:c r="F453" s="53" t="n">
        <x:v>137</x:v>
      </x:c>
      <x:c r="G453" s="54" t="n">
        <x:v>9680</x:v>
      </x:c>
      <x:c r="H453" s="54" t="n">
        <x:v>1326160</x:v>
      </x:c>
      <x:c r="I453" s="54" t="n">
        <x:f>IF(AND(ISNUMBER(F453),ISNUMBER(G453)),ROUND(F453*G453,0),H453)</x:f>
        <x:v>1326160</x:v>
      </x:c>
      <x:c r="J453" s="54" t="n">
        <x:f>I453-H453</x:f>
        <x:v>0</x:v>
      </x:c>
      <x:c r="K453" s="51" t="str">
        <x:v>Материал</x:v>
      </x:c>
      <x:c r="L453" s="51" t="str">
        <x:f>IF(J453=0,"OK","Шалгах")</x:f>
        <x:v>OK</x:v>
      </x:c>
      <x:c r="M453" s="51" t="str">
        <x:v>Сантехник</x:v>
      </x:c>
      <x:c r="N453" s="51" t="n">
        <x:v>160</x:v>
      </x:c>
    </x:row>
    <x:row r="454">
      <x:c r="A454" s="51" t="str">
        <x:v>MAT-6R-0440</x:v>
      </x:c>
      <x:c r="B454" s="52" t="str">
        <x:v>Хэ.Ха.Хүйтэн усны коллектор</x:v>
      </x:c>
      <x:c r="C454" s="52" t="str">
        <x:v>Ф20 хоолой [PPR]</x:v>
      </x:c>
      <x:c r="D454" s="52" t="str"/>
      <x:c r="E454" s="52" t="str">
        <x:v>У/м</x:v>
      </x:c>
      <x:c r="F454" s="53" t="n">
        <x:v>20</x:v>
      </x:c>
      <x:c r="G454" s="54" t="n">
        <x:v>2800</x:v>
      </x:c>
      <x:c r="H454" s="54" t="n">
        <x:v>56000</x:v>
      </x:c>
      <x:c r="I454" s="54" t="n">
        <x:f>IF(AND(ISNUMBER(F454),ISNUMBER(G454)),ROUND(F454*G454,0),H454)</x:f>
        <x:v>56000</x:v>
      </x:c>
      <x:c r="J454" s="54" t="n">
        <x:f>I454-H454</x:f>
        <x:v>0</x:v>
      </x:c>
      <x:c r="K454" s="51" t="str">
        <x:v>Материал</x:v>
      </x:c>
      <x:c r="L454" s="51" t="str">
        <x:f>IF(J454=0,"OK","Шалгах")</x:f>
        <x:v>OK</x:v>
      </x:c>
      <x:c r="M454" s="51" t="str">
        <x:v>Сантехник</x:v>
      </x:c>
      <x:c r="N454" s="51" t="n">
        <x:v>161</x:v>
      </x:c>
    </x:row>
    <x:row r="455">
      <x:c r="A455" s="51" t="str">
        <x:v>MAT-6R-0441</x:v>
      </x:c>
      <x:c r="B455" s="52" t="str">
        <x:v>Хэ.Ха.Хүйтэн усны коллектор</x:v>
      </x:c>
      <x:c r="C455" s="52" t="str">
        <x:v>Ф10 тэлэгч</x:v>
      </x:c>
      <x:c r="D455" s="52" t="str"/>
      <x:c r="E455" s="52" t="str">
        <x:v>ш</x:v>
      </x:c>
      <x:c r="F455" s="53" t="n">
        <x:v>64</x:v>
      </x:c>
      <x:c r="G455" s="54" t="n">
        <x:v>550</x:v>
      </x:c>
      <x:c r="H455" s="54" t="n">
        <x:v>35200</x:v>
      </x:c>
      <x:c r="I455" s="54" t="n">
        <x:f>IF(AND(ISNUMBER(F455),ISNUMBER(G455)),ROUND(F455*G455,0),H455)</x:f>
        <x:v>35200</x:v>
      </x:c>
      <x:c r="J455" s="54" t="n">
        <x:f>I455-H455</x:f>
        <x:v>0</x:v>
      </x:c>
      <x:c r="K455" s="51" t="str">
        <x:v>Материал</x:v>
      </x:c>
      <x:c r="L455" s="51" t="str">
        <x:f>IF(J455=0,"OK","Шалгах")</x:f>
        <x:v>OK</x:v>
      </x:c>
      <x:c r="M455" s="51" t="str">
        <x:v>Сантехник</x:v>
      </x:c>
      <x:c r="N455" s="51" t="n">
        <x:v>162</x:v>
      </x:c>
    </x:row>
    <x:row r="456">
      <x:c r="A456" s="51" t="str">
        <x:v>MAT-6R-0442</x:v>
      </x:c>
      <x:c r="B456" s="52" t="str">
        <x:v>Хэ.Ха.Хүйтэн усны коллектор</x:v>
      </x:c>
      <x:c r="C456" s="52" t="str">
        <x:v>Ф10 резба</x:v>
      </x:c>
      <x:c r="D456" s="52" t="str"/>
      <x:c r="E456" s="52" t="str">
        <x:v>У/м</x:v>
      </x:c>
      <x:c r="F456" s="53" t="n">
        <x:v>20</x:v>
      </x:c>
      <x:c r="G456" s="54" t="n">
        <x:v>1800</x:v>
      </x:c>
      <x:c r="H456" s="54" t="n">
        <x:v>36000</x:v>
      </x:c>
      <x:c r="I456" s="54" t="n">
        <x:f>IF(AND(ISNUMBER(F456),ISNUMBER(G456)),ROUND(F456*G456,0),H456)</x:f>
        <x:v>36000</x:v>
      </x:c>
      <x:c r="J456" s="54" t="n">
        <x:f>I456-H456</x:f>
        <x:v>0</x:v>
      </x:c>
      <x:c r="K456" s="51" t="str">
        <x:v>Материал</x:v>
      </x:c>
      <x:c r="L456" s="51" t="str">
        <x:f>IF(J456=0,"OK","Шалгах")</x:f>
        <x:v>OK</x:v>
      </x:c>
      <x:c r="M456" s="51" t="str">
        <x:v>Сантехник</x:v>
      </x:c>
      <x:c r="N456" s="51" t="n">
        <x:v>163</x:v>
      </x:c>
    </x:row>
    <x:row r="457">
      <x:c r="A457" s="51" t="str">
        <x:v>MAT-6R-0443</x:v>
      </x:c>
      <x:c r="B457" s="52" t="str">
        <x:v>Хэ.Ха.Хүйтэн усны коллектор</x:v>
      </x:c>
      <x:c r="C457" s="52" t="str">
        <x:v>Ф15 халуун усны тоолуур</x:v>
      </x:c>
      <x:c r="D457" s="52" t="str"/>
      <x:c r="E457" s="52" t="str">
        <x:v>ш</x:v>
      </x:c>
      <x:c r="F457" s="53" t="n">
        <x:v>137</x:v>
      </x:c>
      <x:c r="G457" s="54" t="n">
        <x:v>33500</x:v>
      </x:c>
      <x:c r="H457" s="54" t="n">
        <x:v>4589500</x:v>
      </x:c>
      <x:c r="I457" s="54" t="n">
        <x:f>IF(AND(ISNUMBER(F457),ISNUMBER(G457)),ROUND(F457*G457,0),H457)</x:f>
        <x:v>4589500</x:v>
      </x:c>
      <x:c r="J457" s="54" t="n">
        <x:f>I457-H457</x:f>
        <x:v>0</x:v>
      </x:c>
      <x:c r="K457" s="51" t="str">
        <x:v>Материал</x:v>
      </x:c>
      <x:c r="L457" s="51" t="str">
        <x:f>IF(J457=0,"OK","Шалгах")</x:f>
        <x:v>OK</x:v>
      </x:c>
      <x:c r="M457" s="51" t="str">
        <x:v>Сантехник</x:v>
      </x:c>
      <x:c r="N457" s="51" t="n">
        <x:v>164</x:v>
      </x:c>
    </x:row>
    <x:row r="458">
      <x:c r="A458" s="51" t="str">
        <x:v>MAT-6R-0444</x:v>
      </x:c>
      <x:c r="B458" s="52" t="str">
        <x:v>Хэ.Ха.Хүйтэн усны коллектор</x:v>
      </x:c>
      <x:c r="C458" s="52" t="str">
        <x:v>Ф15 хүйтэн усны тоолуур</x:v>
      </x:c>
      <x:c r="D458" s="52" t="str"/>
      <x:c r="E458" s="52" t="str">
        <x:v>ш</x:v>
      </x:c>
      <x:c r="F458" s="53" t="n">
        <x:v>137</x:v>
      </x:c>
      <x:c r="G458" s="54" t="n">
        <x:v>33500</x:v>
      </x:c>
      <x:c r="H458" s="54" t="n">
        <x:v>4589500</x:v>
      </x:c>
      <x:c r="I458" s="54" t="n">
        <x:f>IF(AND(ISNUMBER(F458),ISNUMBER(G458)),ROUND(F458*G458,0),H458)</x:f>
        <x:v>4589500</x:v>
      </x:c>
      <x:c r="J458" s="54" t="n">
        <x:f>I458-H458</x:f>
        <x:v>0</x:v>
      </x:c>
      <x:c r="K458" s="51" t="str">
        <x:v>Материал</x:v>
      </x:c>
      <x:c r="L458" s="51" t="str">
        <x:f>IF(J458=0,"OK","Шалгах")</x:f>
        <x:v>OK</x:v>
      </x:c>
      <x:c r="M458" s="51" t="str">
        <x:v>Сантехник</x:v>
      </x:c>
      <x:c r="N458" s="51" t="n">
        <x:v>165</x:v>
      </x:c>
    </x:row>
    <x:row r="459">
      <x:c r="A459" s="51" t="str">
        <x:v>MAT-6R-0445</x:v>
      </x:c>
      <x:c r="B459" s="52" t="str">
        <x:v>Хэ.Ха.Хүйтэн усны коллектор</x:v>
      </x:c>
      <x:c r="C459" s="52" t="str">
        <x:v>Ф20/15 Коллектор 3 гаргалгаатай</x:v>
      </x:c>
      <x:c r="D459" s="52" t="str"/>
      <x:c r="E459" s="52" t="str">
        <x:v>ш</x:v>
      </x:c>
      <x:c r="F459" s="53" t="n">
        <x:v>93</x:v>
      </x:c>
      <x:c r="G459" s="54" t="n">
        <x:v>144650</x:v>
      </x:c>
      <x:c r="H459" s="54" t="n">
        <x:v>13452450</x:v>
      </x:c>
      <x:c r="I459" s="54" t="n">
        <x:f>IF(AND(ISNUMBER(F459),ISNUMBER(G459)),ROUND(F459*G459,0),H459)</x:f>
        <x:v>13452450</x:v>
      </x:c>
      <x:c r="J459" s="54" t="n">
        <x:f>I459-H459</x:f>
        <x:v>0</x:v>
      </x:c>
      <x:c r="K459" s="51" t="str">
        <x:v>Материал</x:v>
      </x:c>
      <x:c r="L459" s="51" t="str">
        <x:f>IF(J459=0,"OK","Шалгах")</x:f>
        <x:v>OK</x:v>
      </x:c>
      <x:c r="M459" s="51" t="str">
        <x:v>Сантехник</x:v>
      </x:c>
      <x:c r="N459" s="51" t="n">
        <x:v>166</x:v>
      </x:c>
    </x:row>
    <x:row r="460">
      <x:c r="A460" s="51" t="str">
        <x:v>MAT-6R-0446</x:v>
      </x:c>
      <x:c r="B460" s="52" t="str">
        <x:v>Хэ.Ха.Хүйтэн усны коллектор</x:v>
      </x:c>
      <x:c r="C460" s="52" t="str">
        <x:v>Ф20/15 Коллектор 4 гаргалгаатай</x:v>
      </x:c>
      <x:c r="D460" s="52" t="str"/>
      <x:c r="E460" s="52" t="str">
        <x:v>ш</x:v>
      </x:c>
      <x:c r="F460" s="53" t="n">
        <x:v>60</x:v>
      </x:c>
      <x:c r="G460" s="54" t="n">
        <x:v>187000.00000000003</x:v>
      </x:c>
      <x:c r="H460" s="54" t="n">
        <x:v>11220000</x:v>
      </x:c>
      <x:c r="I460" s="54" t="n">
        <x:f>IF(AND(ISNUMBER(F460),ISNUMBER(G460)),ROUND(F460*G460,0),H460)</x:f>
        <x:v>11220000</x:v>
      </x:c>
      <x:c r="J460" s="54" t="n">
        <x:f>I460-H460</x:f>
        <x:v>0</x:v>
      </x:c>
      <x:c r="K460" s="51" t="str">
        <x:v>Материал</x:v>
      </x:c>
      <x:c r="L460" s="51" t="str">
        <x:f>IF(J460=0,"OK","Шалгах")</x:f>
        <x:v>OK</x:v>
      </x:c>
      <x:c r="M460" s="51" t="str">
        <x:v>Сантехник</x:v>
      </x:c>
      <x:c r="N460" s="51" t="n">
        <x:v>167</x:v>
      </x:c>
    </x:row>
    <x:row r="461">
      <x:c r="A461" s="51" t="str">
        <x:v>MAT-6R-0447</x:v>
      </x:c>
      <x:c r="B461" s="52" t="str">
        <x:v>Хэ.Ха.Хүйтэн усны коллектор</x:v>
      </x:c>
      <x:c r="C461" s="52" t="str">
        <x:v>Ф20/15 Коллектор 5 гаргалгаатай</x:v>
      </x:c>
      <x:c r="D461" s="52" t="str"/>
      <x:c r="E461" s="52" t="str">
        <x:v>ш</x:v>
      </x:c>
      <x:c r="F461" s="53" t="n">
        <x:v>123</x:v>
      </x:c>
      <x:c r="G461" s="54" t="n">
        <x:v>225500.00000000003</x:v>
      </x:c>
      <x:c r="H461" s="54" t="n">
        <x:v>27736500</x:v>
      </x:c>
      <x:c r="I461" s="54" t="n">
        <x:f>IF(AND(ISNUMBER(F461),ISNUMBER(G461)),ROUND(F461*G461,0),H461)</x:f>
        <x:v>27736500</x:v>
      </x:c>
      <x:c r="J461" s="54" t="n">
        <x:f>I461-H461</x:f>
        <x:v>0</x:v>
      </x:c>
      <x:c r="K461" s="51" t="str">
        <x:v>Материал</x:v>
      </x:c>
      <x:c r="L461" s="51" t="str">
        <x:f>IF(J461=0,"OK","Шалгах")</x:f>
        <x:v>OK</x:v>
      </x:c>
      <x:c r="M461" s="51" t="str">
        <x:v>Сантехник</x:v>
      </x:c>
      <x:c r="N461" s="51" t="n">
        <x:v>168</x:v>
      </x:c>
    </x:row>
    <x:row r="462">
      <x:c r="A462" s="51" t="str">
        <x:v>MAT-6R-0448</x:v>
      </x:c>
      <x:c r="B462" s="52" t="str">
        <x:v>Хэ.Ха.Хүйтэн усны коллектор</x:v>
      </x:c>
      <x:c r="C462" s="52" t="str">
        <x:v>Ф20 Гадна резбатай үзүүр /PVC/</x:v>
      </x:c>
      <x:c r="D462" s="52" t="str"/>
      <x:c r="E462" s="52" t="str">
        <x:v>ш</x:v>
      </x:c>
      <x:c r="F462" s="53" t="n">
        <x:v>276</x:v>
      </x:c>
      <x:c r="G462" s="54" t="n">
        <x:v>9680</x:v>
      </x:c>
      <x:c r="H462" s="54" t="n">
        <x:v>2671680</x:v>
      </x:c>
      <x:c r="I462" s="54" t="n">
        <x:f>IF(AND(ISNUMBER(F462),ISNUMBER(G462)),ROUND(F462*G462,0),H462)</x:f>
        <x:v>2671680</x:v>
      </x:c>
      <x:c r="J462" s="54" t="n">
        <x:f>I462-H462</x:f>
        <x:v>0</x:v>
      </x:c>
      <x:c r="K462" s="51" t="str">
        <x:v>Материал</x:v>
      </x:c>
      <x:c r="L462" s="51" t="str">
        <x:f>IF(J462=0,"OK","Шалгах")</x:f>
        <x:v>OK</x:v>
      </x:c>
      <x:c r="M462" s="51" t="str">
        <x:v>Сантехник</x:v>
      </x:c>
      <x:c r="N462" s="51" t="n">
        <x:v>169</x:v>
      </x:c>
    </x:row>
    <x:row r="463">
      <x:c r="A463" s="51" t="str">
        <x:v>MAT-6R-0449</x:v>
      </x:c>
      <x:c r="B463" s="52" t="str">
        <x:v>Хэ.Ха.Хүйтэн усны коллектор</x:v>
      </x:c>
      <x:c r="C463" s="52" t="str">
        <x:v>Ф20 Муфть /чангалдаг/</x:v>
      </x:c>
      <x:c r="D463" s="52" t="str"/>
      <x:c r="E463" s="52" t="str">
        <x:v>ш</x:v>
      </x:c>
      <x:c r="F463" s="53" t="n">
        <x:v>50</x:v>
      </x:c>
      <x:c r="G463" s="54" t="n">
        <x:v>6050.000000000001</x:v>
      </x:c>
      <x:c r="H463" s="54" t="n">
        <x:v>302500</x:v>
      </x:c>
      <x:c r="I463" s="54" t="n">
        <x:f>IF(AND(ISNUMBER(F463),ISNUMBER(G463)),ROUND(F463*G463,0),H463)</x:f>
        <x:v>302500</x:v>
      </x:c>
      <x:c r="J463" s="54" t="n">
        <x:f>I463-H463</x:f>
        <x:v>0</x:v>
      </x:c>
      <x:c r="K463" s="51" t="str">
        <x:v>Материал</x:v>
      </x:c>
      <x:c r="L463" s="51" t="str">
        <x:f>IF(J463=0,"OK","Шалгах")</x:f>
        <x:v>OK</x:v>
      </x:c>
      <x:c r="M463" s="51" t="str">
        <x:v>Сантехник</x:v>
      </x:c>
      <x:c r="N463" s="51" t="n">
        <x:v>170</x:v>
      </x:c>
    </x:row>
    <x:row r="464">
      <x:c r="A464" s="51" t="str">
        <x:v>MAT-6R-0450</x:v>
      </x:c>
      <x:c r="B464" s="52" t="str">
        <x:v>Хэ.Ха.Хүйтэн усны коллектор</x:v>
      </x:c>
      <x:c r="C464" s="52" t="str">
        <x:v>Ф20 заглужка /эр/</x:v>
      </x:c>
      <x:c r="D464" s="52" t="str"/>
      <x:c r="E464" s="52" t="str">
        <x:v>ш</x:v>
      </x:c>
      <x:c r="F464" s="53" t="n">
        <x:v>276</x:v>
      </x:c>
      <x:c r="G464" s="54" t="n">
        <x:v>3300.0000000000005</x:v>
      </x:c>
      <x:c r="H464" s="54" t="n">
        <x:v>910800</x:v>
      </x:c>
      <x:c r="I464" s="54" t="n">
        <x:f>IF(AND(ISNUMBER(F464),ISNUMBER(G464)),ROUND(F464*G464,0),H464)</x:f>
        <x:v>910800</x:v>
      </x:c>
      <x:c r="J464" s="54" t="n">
        <x:f>I464-H464</x:f>
        <x:v>0</x:v>
      </x:c>
      <x:c r="K464" s="51" t="str">
        <x:v>Материал</x:v>
      </x:c>
      <x:c r="L464" s="51" t="str">
        <x:f>IF(J464=0,"OK","Шалгах")</x:f>
        <x:v>OK</x:v>
      </x:c>
      <x:c r="M464" s="51" t="str">
        <x:v>Сантехник</x:v>
      </x:c>
      <x:c r="N464" s="51" t="n">
        <x:v>171</x:v>
      </x:c>
    </x:row>
    <x:row r="465">
      <x:c r="A465" s="51" t="str">
        <x:v>MAT-6R-0451</x:v>
      </x:c>
      <x:c r="B465" s="52" t="str">
        <x:v>Хэ.Ха.Хүйтэн усны коллектор</x:v>
      </x:c>
      <x:c r="C465" s="52" t="str">
        <x:v>Ф20 заглужка /эм/</x:v>
      </x:c>
      <x:c r="D465" s="52" t="str"/>
      <x:c r="E465" s="52" t="str">
        <x:v>ш</x:v>
      </x:c>
      <x:c r="F465" s="53" t="n">
        <x:v>50</x:v>
      </x:c>
      <x:c r="G465" s="54" t="n">
        <x:v>3300.0000000000005</x:v>
      </x:c>
      <x:c r="H465" s="54" t="n">
        <x:v>165000</x:v>
      </x:c>
      <x:c r="I465" s="54" t="n">
        <x:f>IF(AND(ISNUMBER(F465),ISNUMBER(G465)),ROUND(F465*G465,0),H465)</x:f>
        <x:v>165000</x:v>
      </x:c>
      <x:c r="J465" s="54" t="n">
        <x:f>I465-H465</x:f>
        <x:v>0</x:v>
      </x:c>
      <x:c r="K465" s="51" t="str">
        <x:v>Материал</x:v>
      </x:c>
      <x:c r="L465" s="51" t="str">
        <x:f>IF(J465=0,"OK","Шалгах")</x:f>
        <x:v>OK</x:v>
      </x:c>
      <x:c r="M465" s="51" t="str">
        <x:v>Сантехник</x:v>
      </x:c>
      <x:c r="N465" s="51" t="n">
        <x:v>172</x:v>
      </x:c>
    </x:row>
    <x:row r="466">
      <x:c r="A466" s="51" t="str">
        <x:v>MAT-6R-0452</x:v>
      </x:c>
      <x:c r="B466" s="52" t="str">
        <x:v>Хэ.Ха.Хүйтэн усны коллектор</x:v>
      </x:c>
      <x:c r="C466" s="52" t="str">
        <x:v>Ф22 Хар Хоолой</x:v>
      </x:c>
      <x:c r="D466" s="52" t="str"/>
      <x:c r="E466" s="52" t="str">
        <x:v>У/м</x:v>
      </x:c>
      <x:c r="F466" s="53" t="n">
        <x:v>2000</x:v>
      </x:c>
      <x:c r="G466" s="54" t="n">
        <x:v>330</x:v>
      </x:c>
      <x:c r="H466" s="54" t="n">
        <x:v>660000</x:v>
      </x:c>
      <x:c r="I466" s="54" t="n">
        <x:f>IF(AND(ISNUMBER(F466),ISNUMBER(G466)),ROUND(F466*G466,0),H466)</x:f>
        <x:v>660000</x:v>
      </x:c>
      <x:c r="J466" s="54" t="n">
        <x:f>I466-H466</x:f>
        <x:v>0</x:v>
      </x:c>
      <x:c r="K466" s="51" t="str">
        <x:v>Материал</x:v>
      </x:c>
      <x:c r="L466" s="51" t="str">
        <x:f>IF(J466=0,"OK","Шалгах")</x:f>
        <x:v>OK</x:v>
      </x:c>
      <x:c r="M466" s="51" t="str">
        <x:v>Сантехник</x:v>
      </x:c>
      <x:c r="N466" s="51" t="n">
        <x:v>173</x:v>
      </x:c>
    </x:row>
    <x:row r="467">
      <x:c r="A467" s="51" t="str">
        <x:v>MAT-6R-0453</x:v>
      </x:c>
      <x:c r="B467" s="52" t="str">
        <x:v>Нийт</x:v>
      </x:c>
      <x:c r="C467" s="52" t="str">
        <x:v>6м-тэй хоолой Ф150 /шар/</x:v>
      </x:c>
      <x:c r="D467" s="52" t="str"/>
      <x:c r="E467" s="52" t="str">
        <x:v>ш</x:v>
      </x:c>
      <x:c r="F467" s="53" t="n">
        <x:v>4</x:v>
      </x:c>
      <x:c r="G467" s="54" t="n">
        <x:v>175900</x:v>
      </x:c>
      <x:c r="H467" s="54" t="n">
        <x:v>703600</x:v>
      </x:c>
      <x:c r="I467" s="54" t="n">
        <x:f>IF(AND(ISNUMBER(F467),ISNUMBER(G467)),ROUND(F467*G467,0),H467)</x:f>
        <x:v>703600</x:v>
      </x:c>
      <x:c r="J467" s="54" t="n">
        <x:f>I467-H467</x:f>
        <x:v>0</x:v>
      </x:c>
      <x:c r="K467" s="51" t="str">
        <x:v>Материал</x:v>
      </x:c>
      <x:c r="L467" s="51" t="str">
        <x:f>IF(J467=0,"OK","Шалгах")</x:f>
        <x:v>OK</x:v>
      </x:c>
      <x:c r="M467" s="51" t="str">
        <x:v>Сантехник</x:v>
      </x:c>
      <x:c r="N467" s="51" t="n">
        <x:v>175</x:v>
      </x:c>
    </x:row>
    <x:row r="468">
      <x:c r="A468" s="51" t="str">
        <x:v>MAT-6R-0454</x:v>
      </x:c>
      <x:c r="B468" s="52" t="str">
        <x:v>Нийт</x:v>
      </x:c>
      <x:c r="C468" s="52" t="str">
        <x:v>2м-тэй хоолой Ф150 /шар/</x:v>
      </x:c>
      <x:c r="D468" s="52" t="str"/>
      <x:c r="E468" s="52" t="str">
        <x:v>ш</x:v>
      </x:c>
      <x:c r="F468" s="53" t="n">
        <x:v>12</x:v>
      </x:c>
      <x:c r="G468" s="54" t="n">
        <x:v>64900</x:v>
      </x:c>
      <x:c r="H468" s="54" t="n">
        <x:v>778800</x:v>
      </x:c>
      <x:c r="I468" s="54" t="n">
        <x:f>IF(AND(ISNUMBER(F468),ISNUMBER(G468)),ROUND(F468*G468,0),H468)</x:f>
        <x:v>778800</x:v>
      </x:c>
      <x:c r="J468" s="54" t="n">
        <x:f>I468-H468</x:f>
        <x:v>0</x:v>
      </x:c>
      <x:c r="K468" s="51" t="str">
        <x:v>Материал</x:v>
      </x:c>
      <x:c r="L468" s="51" t="str">
        <x:f>IF(J468=0,"OK","Шалгах")</x:f>
        <x:v>OK</x:v>
      </x:c>
      <x:c r="M468" s="51" t="str">
        <x:v>Сантехник</x:v>
      </x:c>
      <x:c r="N468" s="51" t="n">
        <x:v>176</x:v>
      </x:c>
    </x:row>
    <x:row r="469">
      <x:c r="A469" s="51" t="str">
        <x:v>MAT-6R-0455</x:v>
      </x:c>
      <x:c r="B469" s="52" t="str">
        <x:v>Нийт</x:v>
      </x:c>
      <x:c r="C469" s="52" t="str">
        <x:v>2м-тэй хоолой Ф100 /шар/</x:v>
      </x:c>
      <x:c r="D469" s="52" t="str"/>
      <x:c r="E469" s="52" t="str">
        <x:v>ш</x:v>
      </x:c>
      <x:c r="F469" s="53" t="n">
        <x:v>20</x:v>
      </x:c>
      <x:c r="G469" s="54" t="n">
        <x:v>30700</x:v>
      </x:c>
      <x:c r="H469" s="54" t="n">
        <x:v>614000</x:v>
      </x:c>
      <x:c r="I469" s="54" t="n">
        <x:f>IF(AND(ISNUMBER(F469),ISNUMBER(G469)),ROUND(F469*G469,0),H469)</x:f>
        <x:v>614000</x:v>
      </x:c>
      <x:c r="J469" s="54" t="n">
        <x:f>I469-H469</x:f>
        <x:v>0</x:v>
      </x:c>
      <x:c r="K469" s="51" t="str">
        <x:v>Материал</x:v>
      </x:c>
      <x:c r="L469" s="51" t="str">
        <x:f>IF(J469=0,"OK","Шалгах")</x:f>
        <x:v>OK</x:v>
      </x:c>
      <x:c r="M469" s="51" t="str">
        <x:v>Сантехник</x:v>
      </x:c>
      <x:c r="N469" s="51" t="n">
        <x:v>177</x:v>
      </x:c>
    </x:row>
    <x:row r="470">
      <x:c r="A470" s="51" t="str">
        <x:v>MAT-6R-0456</x:v>
      </x:c>
      <x:c r="B470" s="52" t="str">
        <x:v>Нийт</x:v>
      </x:c>
      <x:c r="C470" s="52" t="str">
        <x:v>2м-тэй хоолой Ф100</x:v>
      </x:c>
      <x:c r="D470" s="52" t="str"/>
      <x:c r="E470" s="52" t="str">
        <x:v>ш</x:v>
      </x:c>
      <x:c r="F470" s="53" t="n">
        <x:v>170</x:v>
      </x:c>
      <x:c r="G470" s="54" t="n">
        <x:v>9800</x:v>
      </x:c>
      <x:c r="H470" s="54" t="n">
        <x:v>1666000</x:v>
      </x:c>
      <x:c r="I470" s="54" t="n">
        <x:f>IF(AND(ISNUMBER(F470),ISNUMBER(G470)),ROUND(F470*G470,0),H470)</x:f>
        <x:v>1666000</x:v>
      </x:c>
      <x:c r="J470" s="54" t="n">
        <x:f>I470-H470</x:f>
        <x:v>0</x:v>
      </x:c>
      <x:c r="K470" s="51" t="str">
        <x:v>Материал</x:v>
      </x:c>
      <x:c r="L470" s="51" t="str">
        <x:f>IF(J470=0,"OK","Шалгах")</x:f>
        <x:v>OK</x:v>
      </x:c>
      <x:c r="M470" s="51" t="str">
        <x:v>Сантехник</x:v>
      </x:c>
      <x:c r="N470" s="51" t="n">
        <x:v>178</x:v>
      </x:c>
    </x:row>
    <x:row r="471">
      <x:c r="A471" s="51" t="str">
        <x:v>MAT-6R-0457</x:v>
      </x:c>
      <x:c r="B471" s="52" t="str">
        <x:v>Нийт</x:v>
      </x:c>
      <x:c r="C471" s="52" t="str">
        <x:v>1 м-тэй хоолой Ф100 /шар/</x:v>
      </x:c>
      <x:c r="D471" s="52" t="str"/>
      <x:c r="E471" s="52" t="str">
        <x:v>ш</x:v>
      </x:c>
      <x:c r="F471" s="53" t="n">
        <x:v>24</x:v>
      </x:c>
      <x:c r="G471" s="54" t="n">
        <x:v>15800</x:v>
      </x:c>
      <x:c r="H471" s="54" t="n">
        <x:v>379200</x:v>
      </x:c>
      <x:c r="I471" s="54" t="n">
        <x:f>IF(AND(ISNUMBER(F471),ISNUMBER(G471)),ROUND(F471*G471,0),H471)</x:f>
        <x:v>379200</x:v>
      </x:c>
      <x:c r="J471" s="54" t="n">
        <x:f>I471-H471</x:f>
        <x:v>0</x:v>
      </x:c>
      <x:c r="K471" s="51" t="str">
        <x:v>Материал</x:v>
      </x:c>
      <x:c r="L471" s="51" t="str">
        <x:f>IF(J471=0,"OK","Шалгах")</x:f>
        <x:v>OK</x:v>
      </x:c>
      <x:c r="M471" s="51" t="str">
        <x:v>Сантехник</x:v>
      </x:c>
      <x:c r="N471" s="51" t="n">
        <x:v>179</x:v>
      </x:c>
    </x:row>
    <x:row r="472">
      <x:c r="A472" s="51" t="str">
        <x:v>MAT-6R-0458</x:v>
      </x:c>
      <x:c r="B472" s="52" t="str">
        <x:v>Нийт</x:v>
      </x:c>
      <x:c r="C472" s="52" t="str">
        <x:v>1 м-тэй хоолой Ф100</x:v>
      </x:c>
      <x:c r="D472" s="52" t="str"/>
      <x:c r="E472" s="52" t="str">
        <x:v>ш</x:v>
      </x:c>
      <x:c r="F472" s="53" t="n">
        <x:v>340</x:v>
      </x:c>
      <x:c r="G472" s="54" t="n">
        <x:v>9800</x:v>
      </x:c>
      <x:c r="H472" s="54" t="n">
        <x:v>3332000</x:v>
      </x:c>
      <x:c r="I472" s="54" t="n">
        <x:f>IF(AND(ISNUMBER(F472),ISNUMBER(G472)),ROUND(F472*G472,0),H472)</x:f>
        <x:v>3332000</x:v>
      </x:c>
      <x:c r="J472" s="54" t="n">
        <x:f>I472-H472</x:f>
        <x:v>0</x:v>
      </x:c>
      <x:c r="K472" s="51" t="str">
        <x:v>Материал</x:v>
      </x:c>
      <x:c r="L472" s="51" t="str">
        <x:f>IF(J472=0,"OK","Шалгах")</x:f>
        <x:v>OK</x:v>
      </x:c>
      <x:c r="M472" s="51" t="str">
        <x:v>Сантехник</x:v>
      </x:c>
      <x:c r="N472" s="51" t="n">
        <x:v>180</x:v>
      </x:c>
    </x:row>
    <x:row r="473">
      <x:c r="A473" s="51" t="str">
        <x:v>MAT-6R-0459</x:v>
      </x:c>
      <x:c r="B473" s="52" t="str">
        <x:v>Нийт</x:v>
      </x:c>
      <x:c r="C473" s="52" t="str">
        <x:v>1 м-тэй хоолой Ф50</x:v>
      </x:c>
      <x:c r="D473" s="52" t="str"/>
      <x:c r="E473" s="52" t="str">
        <x:v>ш</x:v>
      </x:c>
      <x:c r="F473" s="53" t="n">
        <x:v>680</x:v>
      </x:c>
      <x:c r="G473" s="54" t="n">
        <x:v>3800</x:v>
      </x:c>
      <x:c r="H473" s="54" t="n">
        <x:v>2584000</x:v>
      </x:c>
      <x:c r="I473" s="54" t="n">
        <x:f>IF(AND(ISNUMBER(F473),ISNUMBER(G473)),ROUND(F473*G473,0),H473)</x:f>
        <x:v>2584000</x:v>
      </x:c>
      <x:c r="J473" s="54" t="n">
        <x:f>I473-H473</x:f>
        <x:v>0</x:v>
      </x:c>
      <x:c r="K473" s="51" t="str">
        <x:v>Материал</x:v>
      </x:c>
      <x:c r="L473" s="51" t="str">
        <x:f>IF(J473=0,"OK","Шалгах")</x:f>
        <x:v>OK</x:v>
      </x:c>
      <x:c r="M473" s="51" t="str">
        <x:v>Сантехник</x:v>
      </x:c>
      <x:c r="N473" s="51" t="n">
        <x:v>181</x:v>
      </x:c>
    </x:row>
    <x:row r="474">
      <x:c r="A474" s="51" t="str">
        <x:v>MAT-6R-0460</x:v>
      </x:c>
      <x:c r="B474" s="52" t="str">
        <x:v>Нийт</x:v>
      </x:c>
      <x:c r="C474" s="52" t="str">
        <x:v>50 см-тэй хоолой Ф100</x:v>
      </x:c>
      <x:c r="D474" s="52" t="str"/>
      <x:c r="E474" s="52" t="str">
        <x:v>ш</x:v>
      </x:c>
      <x:c r="F474" s="53" t="n">
        <x:v>120</x:v>
      </x:c>
      <x:c r="G474" s="54" t="n">
        <x:v>7100</x:v>
      </x:c>
      <x:c r="H474" s="54" t="n">
        <x:v>852000</x:v>
      </x:c>
      <x:c r="I474" s="54" t="n">
        <x:f>IF(AND(ISNUMBER(F474),ISNUMBER(G474)),ROUND(F474*G474,0),H474)</x:f>
        <x:v>852000</x:v>
      </x:c>
      <x:c r="J474" s="54" t="n">
        <x:f>I474-H474</x:f>
        <x:v>0</x:v>
      </x:c>
      <x:c r="K474" s="51" t="str">
        <x:v>Материал</x:v>
      </x:c>
      <x:c r="L474" s="51" t="str">
        <x:f>IF(J474=0,"OK","Шалгах")</x:f>
        <x:v>OK</x:v>
      </x:c>
      <x:c r="M474" s="51" t="str">
        <x:v>Сантехник</x:v>
      </x:c>
      <x:c r="N474" s="51" t="n">
        <x:v>182</x:v>
      </x:c>
    </x:row>
    <x:row r="475">
      <x:c r="A475" s="51" t="str">
        <x:v>MAT-6R-0461</x:v>
      </x:c>
      <x:c r="B475" s="52" t="str">
        <x:v>Нийт</x:v>
      </x:c>
      <x:c r="C475" s="52" t="str">
        <x:v>50 см-тэй хоолой Ф50</x:v>
      </x:c>
      <x:c r="D475" s="52" t="str"/>
      <x:c r="E475" s="52" t="str">
        <x:v>ш</x:v>
      </x:c>
      <x:c r="F475" s="53" t="n">
        <x:v>180</x:v>
      </x:c>
      <x:c r="G475" s="54" t="n">
        <x:v>2400</x:v>
      </x:c>
      <x:c r="H475" s="54" t="n">
        <x:v>432000</x:v>
      </x:c>
      <x:c r="I475" s="54" t="n">
        <x:f>IF(AND(ISNUMBER(F475),ISNUMBER(G475)),ROUND(F475*G475,0),H475)</x:f>
        <x:v>432000</x:v>
      </x:c>
      <x:c r="J475" s="54" t="n">
        <x:f>I475-H475</x:f>
        <x:v>0</x:v>
      </x:c>
      <x:c r="K475" s="51" t="str">
        <x:v>Материал</x:v>
      </x:c>
      <x:c r="L475" s="51" t="str">
        <x:f>IF(J475=0,"OK","Шалгах")</x:f>
        <x:v>OK</x:v>
      </x:c>
      <x:c r="M475" s="51" t="str">
        <x:v>Сантехник</x:v>
      </x:c>
      <x:c r="N475" s="51" t="n">
        <x:v>183</x:v>
      </x:c>
    </x:row>
    <x:row r="476">
      <x:c r="A476" s="51" t="str">
        <x:v>MAT-6R-0462</x:v>
      </x:c>
      <x:c r="B476" s="52" t="str">
        <x:v>Нийт</x:v>
      </x:c>
      <x:c r="C476" s="52" t="str">
        <x:v>30 см-тэй хоолой Ф100</x:v>
      </x:c>
      <x:c r="D476" s="52" t="str"/>
      <x:c r="E476" s="52" t="str">
        <x:v>ш</x:v>
      </x:c>
      <x:c r="F476" s="53" t="n">
        <x:v>120</x:v>
      </x:c>
      <x:c r="G476" s="54" t="n">
        <x:v>4900</x:v>
      </x:c>
      <x:c r="H476" s="54" t="n">
        <x:v>588000</x:v>
      </x:c>
      <x:c r="I476" s="54" t="n">
        <x:f>IF(AND(ISNUMBER(F476),ISNUMBER(G476)),ROUND(F476*G476,0),H476)</x:f>
        <x:v>588000</x:v>
      </x:c>
      <x:c r="J476" s="54" t="n">
        <x:f>I476-H476</x:f>
        <x:v>0</x:v>
      </x:c>
      <x:c r="K476" s="51" t="str">
        <x:v>Материал</x:v>
      </x:c>
      <x:c r="L476" s="51" t="str">
        <x:f>IF(J476=0,"OK","Шалгах")</x:f>
        <x:v>OK</x:v>
      </x:c>
      <x:c r="M476" s="51" t="str">
        <x:v>Сантехник</x:v>
      </x:c>
      <x:c r="N476" s="51" t="n">
        <x:v>184</x:v>
      </x:c>
    </x:row>
    <x:row r="477">
      <x:c r="A477" s="51" t="str">
        <x:v>MAT-6R-0463</x:v>
      </x:c>
      <x:c r="B477" s="52" t="str">
        <x:v>Нийт</x:v>
      </x:c>
      <x:c r="C477" s="52" t="str">
        <x:v>30 см-тэй хоолой Ф50</x:v>
      </x:c>
      <x:c r="D477" s="52" t="str"/>
      <x:c r="E477" s="52" t="str">
        <x:v>ш</x:v>
      </x:c>
      <x:c r="F477" s="53" t="n">
        <x:v>200</x:v>
      </x:c>
      <x:c r="G477" s="54" t="n">
        <x:v>2100</x:v>
      </x:c>
      <x:c r="H477" s="54" t="n">
        <x:v>420000</x:v>
      </x:c>
      <x:c r="I477" s="54" t="n">
        <x:f>IF(AND(ISNUMBER(F477),ISNUMBER(G477)),ROUND(F477*G477,0),H477)</x:f>
        <x:v>420000</x:v>
      </x:c>
      <x:c r="J477" s="54" t="n">
        <x:f>I477-H477</x:f>
        <x:v>0</x:v>
      </x:c>
      <x:c r="K477" s="51" t="str">
        <x:v>Материал</x:v>
      </x:c>
      <x:c r="L477" s="51" t="str">
        <x:f>IF(J477=0,"OK","Шалгах")</x:f>
        <x:v>OK</x:v>
      </x:c>
      <x:c r="M477" s="51" t="str">
        <x:v>Сантехник</x:v>
      </x:c>
      <x:c r="N477" s="51" t="n">
        <x:v>185</x:v>
      </x:c>
    </x:row>
    <x:row r="478">
      <x:c r="A478" s="51" t="str">
        <x:v>MAT-6R-0464</x:v>
      </x:c>
      <x:c r="B478" s="52" t="str">
        <x:v>Нийт</x:v>
      </x:c>
      <x:c r="C478" s="52" t="str">
        <x:v>Ташуу тройник Ф150*100/шар/</x:v>
      </x:c>
      <x:c r="D478" s="52" t="str"/>
      <x:c r="E478" s="52" t="str">
        <x:v>ш</x:v>
      </x:c>
      <x:c r="F478" s="53" t="n">
        <x:v>14</x:v>
      </x:c>
      <x:c r="G478" s="54" t="n">
        <x:v>25200</x:v>
      </x:c>
      <x:c r="H478" s="54" t="n">
        <x:v>352800</x:v>
      </x:c>
      <x:c r="I478" s="54" t="n">
        <x:f>IF(AND(ISNUMBER(F478),ISNUMBER(G478)),ROUND(F478*G478,0),H478)</x:f>
        <x:v>352800</x:v>
      </x:c>
      <x:c r="J478" s="54" t="n">
        <x:f>I478-H478</x:f>
        <x:v>0</x:v>
      </x:c>
      <x:c r="K478" s="51" t="str">
        <x:v>Материал</x:v>
      </x:c>
      <x:c r="L478" s="51" t="str">
        <x:f>IF(J478=0,"OK","Шалгах")</x:f>
        <x:v>OK</x:v>
      </x:c>
      <x:c r="M478" s="51" t="str">
        <x:v>Сантехник</x:v>
      </x:c>
      <x:c r="N478" s="51" t="n">
        <x:v>186</x:v>
      </x:c>
    </x:row>
    <x:row r="479">
      <x:c r="A479" s="51" t="str">
        <x:v>MAT-6R-0465</x:v>
      </x:c>
      <x:c r="B479" s="52" t="str">
        <x:v>Нийт</x:v>
      </x:c>
      <x:c r="C479" s="52" t="str">
        <x:v>Ташуу тройник Ф150*150/шар/</x:v>
      </x:c>
      <x:c r="D479" s="52" t="str"/>
      <x:c r="E479" s="52" t="str">
        <x:v>ш</x:v>
      </x:c>
      <x:c r="F479" s="53" t="n">
        <x:v>2</x:v>
      </x:c>
      <x:c r="G479" s="54" t="n">
        <x:v>32300</x:v>
      </x:c>
      <x:c r="H479" s="54" t="n">
        <x:v>64600</x:v>
      </x:c>
      <x:c r="I479" s="54" t="n">
        <x:f>IF(AND(ISNUMBER(F479),ISNUMBER(G479)),ROUND(F479*G479,0),H479)</x:f>
        <x:v>64600</x:v>
      </x:c>
      <x:c r="J479" s="54" t="n">
        <x:f>I479-H479</x:f>
        <x:v>0</x:v>
      </x:c>
      <x:c r="K479" s="51" t="str">
        <x:v>Материал</x:v>
      </x:c>
      <x:c r="L479" s="51" t="str">
        <x:f>IF(J479=0,"OK","Шалгах")</x:f>
        <x:v>OK</x:v>
      </x:c>
      <x:c r="M479" s="51" t="str">
        <x:v>Сантехник</x:v>
      </x:c>
      <x:c r="N479" s="51" t="n">
        <x:v>187</x:v>
      </x:c>
    </x:row>
    <x:row r="480">
      <x:c r="A480" s="51" t="str">
        <x:v>MAT-6R-0466</x:v>
      </x:c>
      <x:c r="B480" s="52" t="str">
        <x:v>Нийт</x:v>
      </x:c>
      <x:c r="C480" s="52" t="str">
        <x:v>Ташуу тройник Ф100*100</x:v>
      </x:c>
      <x:c r="D480" s="52" t="str"/>
      <x:c r="E480" s="52" t="str">
        <x:v>ш</x:v>
      </x:c>
      <x:c r="F480" s="53" t="n">
        <x:v>250</x:v>
      </x:c>
      <x:c r="G480" s="54" t="n">
        <x:v>5800</x:v>
      </x:c>
      <x:c r="H480" s="54" t="n">
        <x:v>1450000</x:v>
      </x:c>
      <x:c r="I480" s="54" t="n">
        <x:f>IF(AND(ISNUMBER(F480),ISNUMBER(G480)),ROUND(F480*G480,0),H480)</x:f>
        <x:v>1450000</x:v>
      </x:c>
      <x:c r="J480" s="54" t="n">
        <x:f>I480-H480</x:f>
        <x:v>0</x:v>
      </x:c>
      <x:c r="K480" s="51" t="str">
        <x:v>Материал</x:v>
      </x:c>
      <x:c r="L480" s="51" t="str">
        <x:f>IF(J480=0,"OK","Шалгах")</x:f>
        <x:v>OK</x:v>
      </x:c>
      <x:c r="M480" s="51" t="str">
        <x:v>Сантехник</x:v>
      </x:c>
      <x:c r="N480" s="51" t="n">
        <x:v>188</x:v>
      </x:c>
    </x:row>
    <x:row r="481">
      <x:c r="A481" s="51" t="str">
        <x:v>MAT-6R-0467</x:v>
      </x:c>
      <x:c r="B481" s="52" t="str">
        <x:v>Нийт</x:v>
      </x:c>
      <x:c r="C481" s="52" t="str">
        <x:v>Ташуу тройник Ф100*50</x:v>
      </x:c>
      <x:c r="D481" s="52" t="str"/>
      <x:c r="E481" s="52" t="str">
        <x:v>ш</x:v>
      </x:c>
      <x:c r="F481" s="53" t="n">
        <x:v>96</x:v>
      </x:c>
      <x:c r="G481" s="54" t="n">
        <x:v>3800</x:v>
      </x:c>
      <x:c r="H481" s="54" t="n">
        <x:v>364800</x:v>
      </x:c>
      <x:c r="I481" s="54" t="n">
        <x:f>IF(AND(ISNUMBER(F481),ISNUMBER(G481)),ROUND(F481*G481,0),H481)</x:f>
        <x:v>364800</x:v>
      </x:c>
      <x:c r="J481" s="54" t="n">
        <x:f>I481-H481</x:f>
        <x:v>0</x:v>
      </x:c>
      <x:c r="K481" s="51" t="str">
        <x:v>Материал</x:v>
      </x:c>
      <x:c r="L481" s="51" t="str">
        <x:f>IF(J481=0,"OK","Шалгах")</x:f>
        <x:v>OK</x:v>
      </x:c>
      <x:c r="M481" s="51" t="str">
        <x:v>Сантехник</x:v>
      </x:c>
      <x:c r="N481" s="51" t="n">
        <x:v>189</x:v>
      </x:c>
    </x:row>
    <x:row r="482">
      <x:c r="A482" s="51" t="str">
        <x:v>MAT-6R-0468</x:v>
      </x:c>
      <x:c r="B482" s="52" t="str">
        <x:v>Нийт</x:v>
      </x:c>
      <x:c r="C482" s="52" t="str">
        <x:v>Тэгш тройник Ф100*100</x:v>
      </x:c>
      <x:c r="D482" s="52" t="str"/>
      <x:c r="E482" s="52" t="str">
        <x:v>ш</x:v>
      </x:c>
      <x:c r="F482" s="53" t="n">
        <x:v>170</x:v>
      </x:c>
      <x:c r="G482" s="54" t="n">
        <x:v>5800</x:v>
      </x:c>
      <x:c r="H482" s="54" t="n">
        <x:v>986000</x:v>
      </x:c>
      <x:c r="I482" s="54" t="n">
        <x:f>IF(AND(ISNUMBER(F482),ISNUMBER(G482)),ROUND(F482*G482,0),H482)</x:f>
        <x:v>986000</x:v>
      </x:c>
      <x:c r="J482" s="54" t="n">
        <x:f>I482-H482</x:f>
        <x:v>0</x:v>
      </x:c>
      <x:c r="K482" s="51" t="str">
        <x:v>Материал</x:v>
      </x:c>
      <x:c r="L482" s="51" t="str">
        <x:f>IF(J482=0,"OK","Шалгах")</x:f>
        <x:v>OK</x:v>
      </x:c>
      <x:c r="M482" s="51" t="str">
        <x:v>Сантехник</x:v>
      </x:c>
      <x:c r="N482" s="51" t="n">
        <x:v>190</x:v>
      </x:c>
    </x:row>
    <x:row r="483">
      <x:c r="A483" s="51" t="str">
        <x:v>MAT-6R-0469</x:v>
      </x:c>
      <x:c r="B483" s="52" t="str">
        <x:v>Нийт</x:v>
      </x:c>
      <x:c r="C483" s="52" t="str">
        <x:v>Тэгш тройник Ф100*50</x:v>
      </x:c>
      <x:c r="D483" s="52" t="str"/>
      <x:c r="E483" s="52" t="str">
        <x:v>ш</x:v>
      </x:c>
      <x:c r="F483" s="53" t="n">
        <x:v>170</x:v>
      </x:c>
      <x:c r="G483" s="54" t="n">
        <x:v>3800</x:v>
      </x:c>
      <x:c r="H483" s="54" t="n">
        <x:v>646000</x:v>
      </x:c>
      <x:c r="I483" s="54" t="n">
        <x:f>IF(AND(ISNUMBER(F483),ISNUMBER(G483)),ROUND(F483*G483,0),H483)</x:f>
        <x:v>646000</x:v>
      </x:c>
      <x:c r="J483" s="54" t="n">
        <x:f>I483-H483</x:f>
        <x:v>0</x:v>
      </x:c>
      <x:c r="K483" s="51" t="str">
        <x:v>Материал</x:v>
      </x:c>
      <x:c r="L483" s="51" t="str">
        <x:f>IF(J483=0,"OK","Шалгах")</x:f>
        <x:v>OK</x:v>
      </x:c>
      <x:c r="M483" s="51" t="str">
        <x:v>Сантехник</x:v>
      </x:c>
      <x:c r="N483" s="51" t="n">
        <x:v>191</x:v>
      </x:c>
    </x:row>
    <x:row r="484">
      <x:c r="A484" s="51" t="str">
        <x:v>MAT-6R-0470</x:v>
      </x:c>
      <x:c r="B484" s="52" t="str">
        <x:v>Нийт</x:v>
      </x:c>
      <x:c r="C484" s="52" t="str">
        <x:v>Тэгш тройник Ф50*50</x:v>
      </x:c>
      <x:c r="D484" s="52" t="str"/>
      <x:c r="E484" s="52" t="str">
        <x:v>ш</x:v>
      </x:c>
      <x:c r="F484" s="53" t="n">
        <x:v>190</x:v>
      </x:c>
      <x:c r="G484" s="54" t="n">
        <x:v>1800</x:v>
      </x:c>
      <x:c r="H484" s="54" t="n">
        <x:v>342000</x:v>
      </x:c>
      <x:c r="I484" s="54" t="n">
        <x:f>IF(AND(ISNUMBER(F484),ISNUMBER(G484)),ROUND(F484*G484,0),H484)</x:f>
        <x:v>342000</x:v>
      </x:c>
      <x:c r="J484" s="54" t="n">
        <x:f>I484-H484</x:f>
        <x:v>0</x:v>
      </x:c>
      <x:c r="K484" s="51" t="str">
        <x:v>Материал</x:v>
      </x:c>
      <x:c r="L484" s="51" t="str">
        <x:f>IF(J484=0,"OK","Шалгах")</x:f>
        <x:v>OK</x:v>
      </x:c>
      <x:c r="M484" s="51" t="str">
        <x:v>Сантехник</x:v>
      </x:c>
      <x:c r="N484" s="51" t="n">
        <x:v>192</x:v>
      </x:c>
    </x:row>
    <x:row r="485">
      <x:c r="A485" s="51" t="str">
        <x:v>MAT-6R-0471</x:v>
      </x:c>
      <x:c r="B485" s="52" t="str">
        <x:v>Нийт</x:v>
      </x:c>
      <x:c r="C485" s="52" t="str">
        <x:v>Ревиз Ф150 /шар/</x:v>
      </x:c>
      <x:c r="D485" s="52" t="str"/>
      <x:c r="E485" s="52" t="str">
        <x:v>ш</x:v>
      </x:c>
      <x:c r="F485" s="53" t="n">
        <x:v>4</x:v>
      </x:c>
      <x:c r="G485" s="54" t="n">
        <x:v>89500</x:v>
      </x:c>
      <x:c r="H485" s="54" t="n">
        <x:v>358000</x:v>
      </x:c>
      <x:c r="I485" s="54" t="n">
        <x:f>IF(AND(ISNUMBER(F485),ISNUMBER(G485)),ROUND(F485*G485,0),H485)</x:f>
        <x:v>358000</x:v>
      </x:c>
      <x:c r="J485" s="54" t="n">
        <x:f>I485-H485</x:f>
        <x:v>0</x:v>
      </x:c>
      <x:c r="K485" s="51" t="str">
        <x:v>Материал</x:v>
      </x:c>
      <x:c r="L485" s="51" t="str">
        <x:f>IF(J485=0,"OK","Шалгах")</x:f>
        <x:v>OK</x:v>
      </x:c>
      <x:c r="M485" s="51" t="str">
        <x:v>Сантехник</x:v>
      </x:c>
      <x:c r="N485" s="51" t="n">
        <x:v>193</x:v>
      </x:c>
    </x:row>
    <x:row r="486">
      <x:c r="A486" s="51" t="str">
        <x:v>MAT-6R-0472</x:v>
      </x:c>
      <x:c r="B486" s="52" t="str">
        <x:v>Нийт</x:v>
      </x:c>
      <x:c r="C486" s="52" t="str">
        <x:v>Ревиз Ф100/шар/</x:v>
      </x:c>
      <x:c r="D486" s="52" t="str"/>
      <x:c r="E486" s="52" t="str">
        <x:v>ш</x:v>
      </x:c>
      <x:c r="F486" s="53" t="n">
        <x:v>6</x:v>
      </x:c>
      <x:c r="G486" s="54" t="n">
        <x:v>59500</x:v>
      </x:c>
      <x:c r="H486" s="54" t="n">
        <x:v>357000</x:v>
      </x:c>
      <x:c r="I486" s="54" t="n">
        <x:f>IF(AND(ISNUMBER(F486),ISNUMBER(G486)),ROUND(F486*G486,0),H486)</x:f>
        <x:v>357000</x:v>
      </x:c>
      <x:c r="J486" s="54" t="n">
        <x:f>I486-H486</x:f>
        <x:v>0</x:v>
      </x:c>
      <x:c r="K486" s="51" t="str">
        <x:v>Материал</x:v>
      </x:c>
      <x:c r="L486" s="51" t="str">
        <x:f>IF(J486=0,"OK","Шалгах")</x:f>
        <x:v>OK</x:v>
      </x:c>
      <x:c r="M486" s="51" t="str">
        <x:v>Сантехник</x:v>
      </x:c>
      <x:c r="N486" s="51" t="n">
        <x:v>194</x:v>
      </x:c>
    </x:row>
    <x:row r="487">
      <x:c r="A487" s="51" t="str">
        <x:v>MAT-6R-0473</x:v>
      </x:c>
      <x:c r="B487" s="52" t="str">
        <x:v>Нийт</x:v>
      </x:c>
      <x:c r="C487" s="52" t="str">
        <x:v>Ревиз Ф100</x:v>
      </x:c>
      <x:c r="D487" s="52" t="str"/>
      <x:c r="E487" s="52" t="str">
        <x:v>ш</x:v>
      </x:c>
      <x:c r="F487" s="53" t="n">
        <x:v>80</x:v>
      </x:c>
      <x:c r="G487" s="54" t="n">
        <x:v>7100</x:v>
      </x:c>
      <x:c r="H487" s="54" t="n">
        <x:v>568000</x:v>
      </x:c>
      <x:c r="I487" s="54" t="n">
        <x:f>IF(AND(ISNUMBER(F487),ISNUMBER(G487)),ROUND(F487*G487,0),H487)</x:f>
        <x:v>568000</x:v>
      </x:c>
      <x:c r="J487" s="54" t="n">
        <x:f>I487-H487</x:f>
        <x:v>0</x:v>
      </x:c>
      <x:c r="K487" s="51" t="str">
        <x:v>Материал</x:v>
      </x:c>
      <x:c r="L487" s="51" t="str">
        <x:f>IF(J487=0,"OK","Шалгах")</x:f>
        <x:v>OK</x:v>
      </x:c>
      <x:c r="M487" s="51" t="str">
        <x:v>Сантехник</x:v>
      </x:c>
      <x:c r="N487" s="51" t="n">
        <x:v>195</x:v>
      </x:c>
    </x:row>
    <x:row r="488">
      <x:c r="A488" s="51" t="str">
        <x:v>MAT-6R-0474</x:v>
      </x:c>
      <x:c r="B488" s="52" t="str">
        <x:v>Нийт</x:v>
      </x:c>
      <x:c r="C488" s="52" t="str">
        <x:v>Малгай Ф100</x:v>
      </x:c>
      <x:c r="D488" s="52" t="str"/>
      <x:c r="E488" s="52" t="str">
        <x:v>ш</x:v>
      </x:c>
      <x:c r="F488" s="53" t="n">
        <x:v>10</x:v>
      </x:c>
      <x:c r="G488" s="54" t="n">
        <x:v>4800</x:v>
      </x:c>
      <x:c r="H488" s="54" t="n">
        <x:v>48000</x:v>
      </x:c>
      <x:c r="I488" s="54" t="n">
        <x:f>IF(AND(ISNUMBER(F488),ISNUMBER(G488)),ROUND(F488*G488,0),H488)</x:f>
        <x:v>48000</x:v>
      </x:c>
      <x:c r="J488" s="54" t="n">
        <x:f>I488-H488</x:f>
        <x:v>0</x:v>
      </x:c>
      <x:c r="K488" s="51" t="str">
        <x:v>Материал</x:v>
      </x:c>
      <x:c r="L488" s="51" t="str">
        <x:f>IF(J488=0,"OK","Шалгах")</x:f>
        <x:v>OK</x:v>
      </x:c>
      <x:c r="M488" s="51" t="str">
        <x:v>Сантехник</x:v>
      </x:c>
      <x:c r="N488" s="51" t="n">
        <x:v>196</x:v>
      </x:c>
    </x:row>
    <x:row r="489">
      <x:c r="A489" s="51" t="str">
        <x:v>MAT-6R-0475</x:v>
      </x:c>
      <x:c r="B489" s="52" t="str">
        <x:v>Нийт</x:v>
      </x:c>
      <x:c r="C489" s="52" t="str">
        <x:v>Таг Ф150</x:v>
      </x:c>
      <x:c r="D489" s="52" t="str"/>
      <x:c r="E489" s="52" t="str">
        <x:v>ш</x:v>
      </x:c>
      <x:c r="F489" s="53" t="n">
        <x:v>2</x:v>
      </x:c>
      <x:c r="G489" s="54" t="n">
        <x:v>5900</x:v>
      </x:c>
      <x:c r="H489" s="54" t="n">
        <x:v>11800</x:v>
      </x:c>
      <x:c r="I489" s="54" t="n">
        <x:f>IF(AND(ISNUMBER(F489),ISNUMBER(G489)),ROUND(F489*G489,0),H489)</x:f>
        <x:v>11800</x:v>
      </x:c>
      <x:c r="J489" s="54" t="n">
        <x:f>I489-H489</x:f>
        <x:v>0</x:v>
      </x:c>
      <x:c r="K489" s="51" t="str">
        <x:v>Материал</x:v>
      </x:c>
      <x:c r="L489" s="51" t="str">
        <x:f>IF(J489=0,"OK","Шалгах")</x:f>
        <x:v>OK</x:v>
      </x:c>
      <x:c r="M489" s="51" t="str">
        <x:v>Сантехник</x:v>
      </x:c>
      <x:c r="N489" s="51" t="n">
        <x:v>197</x:v>
      </x:c>
    </x:row>
    <x:row r="490">
      <x:c r="A490" s="51" t="str">
        <x:v>MAT-6R-0476</x:v>
      </x:c>
      <x:c r="B490" s="52" t="str">
        <x:v>Нийт</x:v>
      </x:c>
      <x:c r="C490" s="52" t="str">
        <x:v>Отвод /45/ Ф150 /шар/</x:v>
      </x:c>
      <x:c r="D490" s="52" t="str"/>
      <x:c r="E490" s="52" t="str">
        <x:v>ш</x:v>
      </x:c>
      <x:c r="F490" s="53" t="n">
        <x:v>8</x:v>
      </x:c>
      <x:c r="G490" s="54" t="n">
        <x:v>16900</x:v>
      </x:c>
      <x:c r="H490" s="54" t="n">
        <x:v>135200</x:v>
      </x:c>
      <x:c r="I490" s="54" t="n">
        <x:f>IF(AND(ISNUMBER(F490),ISNUMBER(G490)),ROUND(F490*G490,0),H490)</x:f>
        <x:v>135200</x:v>
      </x:c>
      <x:c r="J490" s="54" t="n">
        <x:f>I490-H490</x:f>
        <x:v>0</x:v>
      </x:c>
      <x:c r="K490" s="51" t="str">
        <x:v>Материал</x:v>
      </x:c>
      <x:c r="L490" s="51" t="str">
        <x:f>IF(J490=0,"OK","Шалгах")</x:f>
        <x:v>OK</x:v>
      </x:c>
      <x:c r="M490" s="51" t="str">
        <x:v>Сантехник</x:v>
      </x:c>
      <x:c r="N490" s="51" t="n">
        <x:v>198</x:v>
      </x:c>
    </x:row>
    <x:row r="491">
      <x:c r="A491" s="51" t="str">
        <x:v>MAT-6R-0477</x:v>
      </x:c>
      <x:c r="B491" s="52" t="str">
        <x:v>Нийт</x:v>
      </x:c>
      <x:c r="C491" s="52" t="str">
        <x:v>Отвод /45/Ф100 /шар/</x:v>
      </x:c>
      <x:c r="D491" s="52" t="str"/>
      <x:c r="E491" s="52" t="str">
        <x:v>ш</x:v>
      </x:c>
      <x:c r="F491" s="53" t="n">
        <x:v>100</x:v>
      </x:c>
      <x:c r="G491" s="54" t="n">
        <x:v>6300</x:v>
      </x:c>
      <x:c r="H491" s="54" t="n">
        <x:v>630000</x:v>
      </x:c>
      <x:c r="I491" s="54" t="n">
        <x:f>IF(AND(ISNUMBER(F491),ISNUMBER(G491)),ROUND(F491*G491,0),H491)</x:f>
        <x:v>630000</x:v>
      </x:c>
      <x:c r="J491" s="54" t="n">
        <x:f>I491-H491</x:f>
        <x:v>0</x:v>
      </x:c>
      <x:c r="K491" s="51" t="str">
        <x:v>Материал</x:v>
      </x:c>
      <x:c r="L491" s="51" t="str">
        <x:f>IF(J491=0,"OK","Шалгах")</x:f>
        <x:v>OK</x:v>
      </x:c>
      <x:c r="M491" s="51" t="str">
        <x:v>Сантехник</x:v>
      </x:c>
      <x:c r="N491" s="51" t="n">
        <x:v>199</x:v>
      </x:c>
    </x:row>
    <x:row r="492">
      <x:c r="A492" s="51" t="str">
        <x:v>MAT-6R-0478</x:v>
      </x:c>
      <x:c r="B492" s="52" t="str">
        <x:v>Нийт</x:v>
      </x:c>
      <x:c r="C492" s="52" t="str">
        <x:v>Отвод /45/Ф100 /саарал/</x:v>
      </x:c>
      <x:c r="D492" s="52" t="str"/>
      <x:c r="E492" s="52" t="str">
        <x:v>ш</x:v>
      </x:c>
      <x:c r="F492" s="53" t="n">
        <x:v>600</x:v>
      </x:c>
      <x:c r="G492" s="54" t="n">
        <x:v>3300</x:v>
      </x:c>
      <x:c r="H492" s="54" t="n">
        <x:v>1980000</x:v>
      </x:c>
      <x:c r="I492" s="54" t="n">
        <x:f>IF(AND(ISNUMBER(F492),ISNUMBER(G492)),ROUND(F492*G492,0),H492)</x:f>
        <x:v>1980000</x:v>
      </x:c>
      <x:c r="J492" s="54" t="n">
        <x:f>I492-H492</x:f>
        <x:v>0</x:v>
      </x:c>
      <x:c r="K492" s="51" t="str">
        <x:v>Материал</x:v>
      </x:c>
      <x:c r="L492" s="51" t="str">
        <x:f>IF(J492=0,"OK","Шалгах")</x:f>
        <x:v>OK</x:v>
      </x:c>
      <x:c r="M492" s="51" t="str">
        <x:v>Сантехник</x:v>
      </x:c>
      <x:c r="N492" s="51" t="n">
        <x:v>200</x:v>
      </x:c>
    </x:row>
    <x:row r="493">
      <x:c r="A493" s="51" t="str">
        <x:v>MAT-6R-0479</x:v>
      </x:c>
      <x:c r="B493" s="52" t="str">
        <x:v>Нийт</x:v>
      </x:c>
      <x:c r="C493" s="52" t="str">
        <x:v>Отвод /45/Ф50</x:v>
      </x:c>
      <x:c r="D493" s="52" t="str"/>
      <x:c r="E493" s="52" t="str">
        <x:v>ш</x:v>
      </x:c>
      <x:c r="F493" s="53" t="n">
        <x:v>720</x:v>
      </x:c>
      <x:c r="G493" s="54" t="n">
        <x:v>1000</x:v>
      </x:c>
      <x:c r="H493" s="54" t="n">
        <x:v>720000</x:v>
      </x:c>
      <x:c r="I493" s="54" t="n">
        <x:f>IF(AND(ISNUMBER(F493),ISNUMBER(G493)),ROUND(F493*G493,0),H493)</x:f>
        <x:v>720000</x:v>
      </x:c>
      <x:c r="J493" s="54" t="n">
        <x:f>I493-H493</x:f>
        <x:v>0</x:v>
      </x:c>
      <x:c r="K493" s="51" t="str">
        <x:v>Материал</x:v>
      </x:c>
      <x:c r="L493" s="51" t="str">
        <x:f>IF(J493=0,"OK","Шалгах")</x:f>
        <x:v>OK</x:v>
      </x:c>
      <x:c r="M493" s="51" t="str">
        <x:v>Сантехник</x:v>
      </x:c>
      <x:c r="N493" s="51" t="n">
        <x:v>201</x:v>
      </x:c>
    </x:row>
    <x:row r="494">
      <x:c r="A494" s="51" t="str">
        <x:v>MAT-6R-0480</x:v>
      </x:c>
      <x:c r="B494" s="52" t="str">
        <x:v>Нийт</x:v>
      </x:c>
      <x:c r="C494" s="52" t="str">
        <x:v>Отвод /90/ Ф50</x:v>
      </x:c>
      <x:c r="D494" s="52" t="str"/>
      <x:c r="E494" s="52" t="str">
        <x:v>ш</x:v>
      </x:c>
      <x:c r="F494" s="53" t="n">
        <x:v>510</x:v>
      </x:c>
      <x:c r="G494" s="54" t="n">
        <x:v>1000</x:v>
      </x:c>
      <x:c r="H494" s="54" t="n">
        <x:v>510000</x:v>
      </x:c>
      <x:c r="I494" s="54" t="n">
        <x:f>IF(AND(ISNUMBER(F494),ISNUMBER(G494)),ROUND(F494*G494,0),H494)</x:f>
        <x:v>510000</x:v>
      </x:c>
      <x:c r="J494" s="54" t="n">
        <x:f>I494-H494</x:f>
        <x:v>0</x:v>
      </x:c>
      <x:c r="K494" s="51" t="str">
        <x:v>Материал</x:v>
      </x:c>
      <x:c r="L494" s="51" t="str">
        <x:f>IF(J494=0,"OK","Шалгах")</x:f>
        <x:v>OK</x:v>
      </x:c>
      <x:c r="M494" s="51" t="str">
        <x:v>Сантехник</x:v>
      </x:c>
      <x:c r="N494" s="51" t="n">
        <x:v>202</x:v>
      </x:c>
    </x:row>
    <x:row r="495">
      <x:c r="A495" s="51" t="str">
        <x:v>MAT-6R-0481</x:v>
      </x:c>
      <x:c r="B495" s="52" t="str">
        <x:v>Нийт</x:v>
      </x:c>
      <x:c r="C495" s="52" t="str">
        <x:v>Хомут Ф160</x:v>
      </x:c>
      <x:c r="D495" s="52" t="str"/>
      <x:c r="E495" s="52" t="str">
        <x:v>ш</x:v>
      </x:c>
      <x:c r="F495" s="53" t="n">
        <x:v>30</x:v>
      </x:c>
      <x:c r="G495" s="54" t="n">
        <x:v>8000</x:v>
      </x:c>
      <x:c r="H495" s="54" t="n">
        <x:v>240000</x:v>
      </x:c>
      <x:c r="I495" s="54" t="n">
        <x:f>IF(AND(ISNUMBER(F495),ISNUMBER(G495)),ROUND(F495*G495,0),H495)</x:f>
        <x:v>240000</x:v>
      </x:c>
      <x:c r="J495" s="54" t="n">
        <x:f>I495-H495</x:f>
        <x:v>0</x:v>
      </x:c>
      <x:c r="K495" s="51" t="str">
        <x:v>Материал</x:v>
      </x:c>
      <x:c r="L495" s="51" t="str">
        <x:f>IF(J495=0,"OK","Шалгах")</x:f>
        <x:v>OK</x:v>
      </x:c>
      <x:c r="M495" s="51" t="str">
        <x:v>Сантехник</x:v>
      </x:c>
      <x:c r="N495" s="51" t="n">
        <x:v>203</x:v>
      </x:c>
    </x:row>
    <x:row r="496">
      <x:c r="A496" s="51" t="str">
        <x:v>MAT-6R-0482</x:v>
      </x:c>
      <x:c r="B496" s="52" t="str">
        <x:v>Нийт</x:v>
      </x:c>
      <x:c r="C496" s="52" t="str">
        <x:v>Хомут Ф100</x:v>
      </x:c>
      <x:c r="D496" s="52" t="str"/>
      <x:c r="E496" s="52" t="str">
        <x:v>ш</x:v>
      </x:c>
      <x:c r="F496" s="53" t="n">
        <x:v>400</x:v>
      </x:c>
      <x:c r="G496" s="54" t="n">
        <x:v>5900</x:v>
      </x:c>
      <x:c r="H496" s="54" t="n">
        <x:v>2360000</x:v>
      </x:c>
      <x:c r="I496" s="54" t="n">
        <x:f>IF(AND(ISNUMBER(F496),ISNUMBER(G496)),ROUND(F496*G496,0),H496)</x:f>
        <x:v>2360000</x:v>
      </x:c>
      <x:c r="J496" s="54" t="n">
        <x:f>I496-H496</x:f>
        <x:v>0</x:v>
      </x:c>
      <x:c r="K496" s="51" t="str">
        <x:v>Материал</x:v>
      </x:c>
      <x:c r="L496" s="51" t="str">
        <x:f>IF(J496=0,"OK","Шалгах")</x:f>
        <x:v>OK</x:v>
      </x:c>
      <x:c r="M496" s="51" t="str">
        <x:v>Сантехник</x:v>
      </x:c>
      <x:c r="N496" s="51" t="n">
        <x:v>204</x:v>
      </x:c>
    </x:row>
    <x:row r="497">
      <x:c r="A497" s="51" t="str">
        <x:v>MAT-6R-0483</x:v>
      </x:c>
      <x:c r="B497" s="52" t="str">
        <x:v>Нийт</x:v>
      </x:c>
      <x:c r="C497" s="52" t="str">
        <x:v>Хомут Ф50</x:v>
      </x:c>
      <x:c r="D497" s="52" t="str"/>
      <x:c r="E497" s="52" t="str">
        <x:v>ш</x:v>
      </x:c>
      <x:c r="F497" s="53" t="n">
        <x:v>510</x:v>
      </x:c>
      <x:c r="G497" s="54" t="n">
        <x:v>3200</x:v>
      </x:c>
      <x:c r="H497" s="54" t="n">
        <x:v>1632000</x:v>
      </x:c>
      <x:c r="I497" s="54" t="n">
        <x:f>IF(AND(ISNUMBER(F497),ISNUMBER(G497)),ROUND(F497*G497,0),H497)</x:f>
        <x:v>1632000</x:v>
      </x:c>
      <x:c r="J497" s="54" t="n">
        <x:f>I497-H497</x:f>
        <x:v>0</x:v>
      </x:c>
      <x:c r="K497" s="51" t="str">
        <x:v>Материал</x:v>
      </x:c>
      <x:c r="L497" s="51" t="str">
        <x:f>IF(J497=0,"OK","Шалгах")</x:f>
        <x:v>OK</x:v>
      </x:c>
      <x:c r="M497" s="51" t="str">
        <x:v>Сантехник</x:v>
      </x:c>
      <x:c r="N497" s="51" t="n">
        <x:v>205</x:v>
      </x:c>
    </x:row>
    <x:row r="498">
      <x:c r="A498" s="51" t="str">
        <x:v>MAT-6R-0484</x:v>
      </x:c>
      <x:c r="B498" s="52" t="str">
        <x:v>Нийт</x:v>
      </x:c>
      <x:c r="C498" s="52" t="str">
        <x:v>Муфть Ф150/шар/</x:v>
      </x:c>
      <x:c r="D498" s="52" t="str"/>
      <x:c r="E498" s="52" t="str">
        <x:v>ш</x:v>
      </x:c>
      <x:c r="F498" s="53" t="n">
        <x:v>8</x:v>
      </x:c>
      <x:c r="G498" s="54" t="n">
        <x:v>15600</x:v>
      </x:c>
      <x:c r="H498" s="54" t="n">
        <x:v>124800</x:v>
      </x:c>
      <x:c r="I498" s="54" t="n">
        <x:f>IF(AND(ISNUMBER(F498),ISNUMBER(G498)),ROUND(F498*G498,0),H498)</x:f>
        <x:v>124800</x:v>
      </x:c>
      <x:c r="J498" s="54" t="n">
        <x:f>I498-H498</x:f>
        <x:v>0</x:v>
      </x:c>
      <x:c r="K498" s="51" t="str">
        <x:v>Материал</x:v>
      </x:c>
      <x:c r="L498" s="51" t="str">
        <x:f>IF(J498=0,"OK","Шалгах")</x:f>
        <x:v>OK</x:v>
      </x:c>
      <x:c r="M498" s="51" t="str">
        <x:v>Сантехник</x:v>
      </x:c>
      <x:c r="N498" s="51" t="n">
        <x:v>206</x:v>
      </x:c>
    </x:row>
    <x:row r="499">
      <x:c r="A499" s="51" t="str">
        <x:v>MAT-6R-0485</x:v>
      </x:c>
      <x:c r="B499" s="52" t="str">
        <x:v>Нийт</x:v>
      </x:c>
      <x:c r="C499" s="52" t="str">
        <x:v>Резба /м10/</x:v>
      </x:c>
      <x:c r="D499" s="52" t="str"/>
      <x:c r="E499" s="52" t="str">
        <x:v>У/м</x:v>
      </x:c>
      <x:c r="F499" s="53" t="n">
        <x:v>72</x:v>
      </x:c>
      <x:c r="G499" s="54" t="n">
        <x:v>2000</x:v>
      </x:c>
      <x:c r="H499" s="54" t="n">
        <x:v>144000</x:v>
      </x:c>
      <x:c r="I499" s="54" t="n">
        <x:f>IF(AND(ISNUMBER(F499),ISNUMBER(G499)),ROUND(F499*G499,0),H499)</x:f>
        <x:v>144000</x:v>
      </x:c>
      <x:c r="J499" s="54" t="n">
        <x:f>I499-H499</x:f>
        <x:v>0</x:v>
      </x:c>
      <x:c r="K499" s="51" t="str">
        <x:v>Материал</x:v>
      </x:c>
      <x:c r="L499" s="51" t="str">
        <x:f>IF(J499=0,"OK","Шалгах")</x:f>
        <x:v>OK</x:v>
      </x:c>
      <x:c r="M499" s="51" t="str">
        <x:v>Сантехник</x:v>
      </x:c>
      <x:c r="N499" s="51" t="n">
        <x:v>207</x:v>
      </x:c>
    </x:row>
    <x:row r="500">
      <x:c r="A500" s="51" t="str">
        <x:v>MAT-6R-0486</x:v>
      </x:c>
      <x:c r="B500" s="52" t="str">
        <x:v>Нийт</x:v>
      </x:c>
      <x:c r="C500" s="52" t="str">
        <x:v>Гайк /м10/</x:v>
      </x:c>
      <x:c r="D500" s="52" t="str"/>
      <x:c r="E500" s="52" t="str">
        <x:v>ш</x:v>
      </x:c>
      <x:c r="F500" s="53" t="n">
        <x:v>120</x:v>
      </x:c>
      <x:c r="G500" s="54" t="n">
        <x:v>1500</x:v>
      </x:c>
      <x:c r="H500" s="54" t="n">
        <x:v>180000</x:v>
      </x:c>
      <x:c r="I500" s="54" t="n">
        <x:f>IF(AND(ISNUMBER(F500),ISNUMBER(G500)),ROUND(F500*G500,0),H500)</x:f>
        <x:v>180000</x:v>
      </x:c>
      <x:c r="J500" s="54" t="n">
        <x:f>I500-H500</x:f>
        <x:v>0</x:v>
      </x:c>
      <x:c r="K500" s="51" t="str">
        <x:v>Материал</x:v>
      </x:c>
      <x:c r="L500" s="51" t="str">
        <x:f>IF(J500=0,"OK","Шалгах")</x:f>
        <x:v>OK</x:v>
      </x:c>
      <x:c r="M500" s="51" t="str">
        <x:v>Сантехник</x:v>
      </x:c>
      <x:c r="N500" s="51" t="n">
        <x:v>208</x:v>
      </x:c>
    </x:row>
    <x:row r="501">
      <x:c r="A501" s="51" t="str">
        <x:v>MAT-6R-0487</x:v>
      </x:c>
      <x:c r="B501" s="52" t="str">
        <x:v>Нийт</x:v>
      </x:c>
      <x:c r="C501" s="52" t="str">
        <x:v>Резба /м8/</x:v>
      </x:c>
      <x:c r="D501" s="52" t="str"/>
      <x:c r="E501" s="52" t="str">
        <x:v>У/м</x:v>
      </x:c>
      <x:c r="F501" s="53" t="n">
        <x:v>30</x:v>
      </x:c>
      <x:c r="G501" s="54" t="n">
        <x:v>1800</x:v>
      </x:c>
      <x:c r="H501" s="54" t="n">
        <x:v>54000</x:v>
      </x:c>
      <x:c r="I501" s="54" t="n">
        <x:f>IF(AND(ISNUMBER(F501),ISNUMBER(G501)),ROUND(F501*G501,0),H501)</x:f>
        <x:v>54000</x:v>
      </x:c>
      <x:c r="J501" s="54" t="n">
        <x:f>I501-H501</x:f>
        <x:v>0</x:v>
      </x:c>
      <x:c r="K501" s="51" t="str">
        <x:v>Материал</x:v>
      </x:c>
      <x:c r="L501" s="51" t="str">
        <x:f>IF(J501=0,"OK","Шалгах")</x:f>
        <x:v>OK</x:v>
      </x:c>
      <x:c r="M501" s="51" t="str">
        <x:v>Сантехник</x:v>
      </x:c>
      <x:c r="N501" s="51" t="n">
        <x:v>209</x:v>
      </x:c>
    </x:row>
    <x:row r="502">
      <x:c r="A502" s="51" t="str">
        <x:v>MAT-6R-0488</x:v>
      </x:c>
      <x:c r="B502" s="52" t="str">
        <x:v>Нийт</x:v>
      </x:c>
      <x:c r="C502" s="52" t="str">
        <x:v>Угаалтуур</x:v>
      </x:c>
      <x:c r="D502" s="52" t="str"/>
      <x:c r="E502" s="52" t="str">
        <x:v>ш</x:v>
      </x:c>
      <x:c r="F502" s="53" t="n">
        <x:v>172</x:v>
      </x:c>
      <x:c r="G502" s="54" t="n">
        <x:v>250000</x:v>
      </x:c>
      <x:c r="H502" s="54" t="n">
        <x:v>43000000</x:v>
      </x:c>
      <x:c r="I502" s="54" t="n">
        <x:f>IF(AND(ISNUMBER(F502),ISNUMBER(G502)),ROUND(F502*G502,0),H502)</x:f>
        <x:v>43000000</x:v>
      </x:c>
      <x:c r="J502" s="54" t="n">
        <x:f>I502-H502</x:f>
        <x:v>0</x:v>
      </x:c>
      <x:c r="K502" s="51" t="str">
        <x:v>Материал</x:v>
      </x:c>
      <x:c r="L502" s="51" t="str">
        <x:f>IF(J502=0,"OK","Шалгах")</x:f>
        <x:v>OK</x:v>
      </x:c>
      <x:c r="M502" s="51" t="str">
        <x:v>Сантехник</x:v>
      </x:c>
      <x:c r="N502" s="51" t="n">
        <x:v>210</x:v>
      </x:c>
    </x:row>
    <x:row r="503">
      <x:c r="A503" s="51" t="str">
        <x:v>MAT-6R-0489</x:v>
      </x:c>
      <x:c r="B503" s="52" t="str">
        <x:v>Нийт</x:v>
      </x:c>
      <x:c r="C503" s="52" t="str">
        <x:v>Угаалтуурын сифон</x:v>
      </x:c>
      <x:c r="D503" s="52" t="str"/>
      <x:c r="E503" s="52" t="str">
        <x:v>ш</x:v>
      </x:c>
      <x:c r="F503" s="53" t="n">
        <x:v>172</x:v>
      </x:c>
      <x:c r="G503" s="54" t="n">
        <x:v>19500</x:v>
      </x:c>
      <x:c r="H503" s="54" t="n">
        <x:v>3354000</x:v>
      </x:c>
      <x:c r="I503" s="54" t="n">
        <x:f>IF(AND(ISNUMBER(F503),ISNUMBER(G503)),ROUND(F503*G503,0),H503)</x:f>
        <x:v>3354000</x:v>
      </x:c>
      <x:c r="J503" s="54" t="n">
        <x:f>I503-H503</x:f>
        <x:v>0</x:v>
      </x:c>
      <x:c r="K503" s="51" t="str">
        <x:v>Материал</x:v>
      </x:c>
      <x:c r="L503" s="51" t="str">
        <x:f>IF(J503=0,"OK","Шалгах")</x:f>
        <x:v>OK</x:v>
      </x:c>
      <x:c r="M503" s="51" t="str">
        <x:v>Сантехник</x:v>
      </x:c>
      <x:c r="N503" s="51" t="n">
        <x:v>211</x:v>
      </x:c>
    </x:row>
    <x:row r="504">
      <x:c r="A504" s="51" t="str">
        <x:v>MAT-6R-0490</x:v>
      </x:c>
      <x:c r="B504" s="52" t="str">
        <x:v>Нийт</x:v>
      </x:c>
      <x:c r="C504" s="52" t="str">
        <x:v>Угаалтуурын холигч</x:v>
      </x:c>
      <x:c r="D504" s="52" t="str"/>
      <x:c r="E504" s="52" t="str">
        <x:v>ш</x:v>
      </x:c>
      <x:c r="F504" s="53" t="n">
        <x:v>172</x:v>
      </x:c>
      <x:c r="G504" s="54" t="n">
        <x:v>150000</x:v>
      </x:c>
      <x:c r="H504" s="54" t="n">
        <x:v>25800000</x:v>
      </x:c>
      <x:c r="I504" s="54" t="n">
        <x:f>IF(AND(ISNUMBER(F504),ISNUMBER(G504)),ROUND(F504*G504,0),H504)</x:f>
        <x:v>25800000</x:v>
      </x:c>
      <x:c r="J504" s="54" t="n">
        <x:f>I504-H504</x:f>
        <x:v>0</x:v>
      </x:c>
      <x:c r="K504" s="51" t="str">
        <x:v>Материал</x:v>
      </x:c>
      <x:c r="L504" s="51" t="str">
        <x:f>IF(J504=0,"OK","Шалгах")</x:f>
        <x:v>OK</x:v>
      </x:c>
      <x:c r="M504" s="51" t="str">
        <x:v>Сантехник</x:v>
      </x:c>
      <x:c r="N504" s="51" t="n">
        <x:v>212</x:v>
      </x:c>
    </x:row>
    <x:row r="505">
      <x:c r="A505" s="51" t="str">
        <x:v>MAT-6R-0491</x:v>
      </x:c>
      <x:c r="B505" s="52" t="str">
        <x:v>Нийт</x:v>
      </x:c>
      <x:c r="C505" s="52" t="str">
        <x:v>Уян 60см</x:v>
      </x:c>
      <x:c r="D505" s="52" t="str"/>
      <x:c r="E505" s="52" t="str">
        <x:v>ш</x:v>
      </x:c>
      <x:c r="F505" s="53" t="n">
        <x:v>516</x:v>
      </x:c>
      <x:c r="G505" s="54" t="n">
        <x:v>10500</x:v>
      </x:c>
      <x:c r="H505" s="54" t="n">
        <x:v>5418000</x:v>
      </x:c>
      <x:c r="I505" s="54" t="n">
        <x:f>IF(AND(ISNUMBER(F505),ISNUMBER(G505)),ROUND(F505*G505,0),H505)</x:f>
        <x:v>5418000</x:v>
      </x:c>
      <x:c r="J505" s="54" t="n">
        <x:f>I505-H505</x:f>
        <x:v>0</x:v>
      </x:c>
      <x:c r="K505" s="51" t="str">
        <x:v>Материал</x:v>
      </x:c>
      <x:c r="L505" s="51" t="str">
        <x:f>IF(J505=0,"OK","Шалгах")</x:f>
        <x:v>OK</x:v>
      </x:c>
      <x:c r="M505" s="51" t="str">
        <x:v>Сантехник</x:v>
      </x:c>
      <x:c r="N505" s="51" t="n">
        <x:v>213</x:v>
      </x:c>
    </x:row>
    <x:row r="506">
      <x:c r="A506" s="51" t="str">
        <x:v>MAT-6R-0492</x:v>
      </x:c>
      <x:c r="B506" s="52" t="str">
        <x:v>Нийт</x:v>
      </x:c>
      <x:c r="C506" s="52" t="str">
        <x:v>Суултуур</x:v>
      </x:c>
      <x:c r="D506" s="52" t="str"/>
      <x:c r="E506" s="52" t="str">
        <x:v>ш</x:v>
      </x:c>
      <x:c r="F506" s="53" t="n">
        <x:v>172</x:v>
      </x:c>
      <x:c r="G506" s="54" t="n">
        <x:v>350000</x:v>
      </x:c>
      <x:c r="H506" s="54" t="n">
        <x:v>60200000</x:v>
      </x:c>
      <x:c r="I506" s="54" t="n">
        <x:f>IF(AND(ISNUMBER(F506),ISNUMBER(G506)),ROUND(F506*G506,0),H506)</x:f>
        <x:v>60200000</x:v>
      </x:c>
      <x:c r="J506" s="54" t="n">
        <x:f>I506-H506</x:f>
        <x:v>0</x:v>
      </x:c>
      <x:c r="K506" s="51" t="str">
        <x:v>Материал</x:v>
      </x:c>
      <x:c r="L506" s="51" t="str">
        <x:f>IF(J506=0,"OK","Шалгах")</x:f>
        <x:v>OK</x:v>
      </x:c>
      <x:c r="M506" s="51" t="str">
        <x:v>Сантехник</x:v>
      </x:c>
      <x:c r="N506" s="51" t="n">
        <x:v>214</x:v>
      </x:c>
    </x:row>
    <x:row r="507">
      <x:c r="A507" s="51" t="str">
        <x:v>MAT-6R-0493</x:v>
      </x:c>
      <x:c r="B507" s="52" t="str">
        <x:v>Нийт</x:v>
      </x:c>
      <x:c r="C507" s="52" t="str">
        <x:v>Банн</x:v>
      </x:c>
      <x:c r="D507" s="52" t="str"/>
      <x:c r="E507" s="52" t="str">
        <x:v>ш</x:v>
      </x:c>
      <x:c r="F507" s="53" t="n">
        <x:v>136</x:v>
      </x:c>
      <x:c r="G507" s="54" t="n">
        <x:v>380000</x:v>
      </x:c>
      <x:c r="H507" s="54" t="n">
        <x:v>51680000</x:v>
      </x:c>
      <x:c r="I507" s="54" t="n">
        <x:f>IF(AND(ISNUMBER(F507),ISNUMBER(G507)),ROUND(F507*G507,0),H507)</x:f>
        <x:v>51680000</x:v>
      </x:c>
      <x:c r="J507" s="54" t="n">
        <x:f>I507-H507</x:f>
        <x:v>0</x:v>
      </x:c>
      <x:c r="K507" s="51" t="str">
        <x:v>Материал</x:v>
      </x:c>
      <x:c r="L507" s="51" t="str">
        <x:f>IF(J507=0,"OK","Шалгах")</x:f>
        <x:v>OK</x:v>
      </x:c>
      <x:c r="M507" s="51" t="str">
        <x:v>Сантехник</x:v>
      </x:c>
      <x:c r="N507" s="51" t="n">
        <x:v>215</x:v>
      </x:c>
    </x:row>
    <x:row r="508">
      <x:c r="A508" s="51" t="str">
        <x:v>MAT-6R-0494</x:v>
      </x:c>
      <x:c r="B508" s="52" t="str">
        <x:v>Нийт</x:v>
      </x:c>
      <x:c r="C508" s="52" t="str">
        <x:v>Банны сифон</x:v>
      </x:c>
      <x:c r="D508" s="52" t="str"/>
      <x:c r="E508" s="52" t="str">
        <x:v>ш</x:v>
      </x:c>
      <x:c r="F508" s="53" t="n">
        <x:v>136</x:v>
      </x:c>
      <x:c r="G508" s="54" t="n">
        <x:v>36500</x:v>
      </x:c>
      <x:c r="H508" s="54" t="n">
        <x:v>4964000</x:v>
      </x:c>
      <x:c r="I508" s="54" t="n">
        <x:f>IF(AND(ISNUMBER(F508),ISNUMBER(G508)),ROUND(F508*G508,0),H508)</x:f>
        <x:v>4964000</x:v>
      </x:c>
      <x:c r="J508" s="54" t="n">
        <x:f>I508-H508</x:f>
        <x:v>0</x:v>
      </x:c>
      <x:c r="K508" s="51" t="str">
        <x:v>Материал</x:v>
      </x:c>
      <x:c r="L508" s="51" t="str">
        <x:f>IF(J508=0,"OK","Шалгах")</x:f>
        <x:v>OK</x:v>
      </x:c>
      <x:c r="M508" s="51" t="str">
        <x:v>Сантехник</x:v>
      </x:c>
      <x:c r="N508" s="51" t="n">
        <x:v>216</x:v>
      </x:c>
    </x:row>
    <x:row r="509">
      <x:c r="A509" s="51" t="str">
        <x:v>MAT-6R-0495</x:v>
      </x:c>
      <x:c r="B509" s="52" t="str">
        <x:v>Нийт</x:v>
      </x:c>
      <x:c r="C509" s="52" t="str">
        <x:v>Банны холигч</x:v>
      </x:c>
      <x:c r="D509" s="52" t="str"/>
      <x:c r="E509" s="52" t="str">
        <x:v>ш</x:v>
      </x:c>
      <x:c r="F509" s="53" t="n">
        <x:v>136</x:v>
      </x:c>
      <x:c r="G509" s="54" t="n">
        <x:v>165000</x:v>
      </x:c>
      <x:c r="H509" s="54" t="n">
        <x:v>22440000</x:v>
      </x:c>
      <x:c r="I509" s="54" t="n">
        <x:f>IF(AND(ISNUMBER(F509),ISNUMBER(G509)),ROUND(F509*G509,0),H509)</x:f>
        <x:v>22440000</x:v>
      </x:c>
      <x:c r="J509" s="54" t="n">
        <x:f>I509-H509</x:f>
        <x:v>0</x:v>
      </x:c>
      <x:c r="K509" s="51" t="str">
        <x:v>Материал</x:v>
      </x:c>
      <x:c r="L509" s="51" t="str">
        <x:f>IF(J509=0,"OK","Шалгах")</x:f>
        <x:v>OK</x:v>
      </x:c>
      <x:c r="M509" s="51" t="str">
        <x:v>Сантехник</x:v>
      </x:c>
      <x:c r="N509" s="51" t="n">
        <x:v>217</x:v>
      </x:c>
    </x:row>
    <x:row r="510">
      <x:c r="A510" s="51" t="str">
        <x:v>MAT-6R-0496</x:v>
      </x:c>
      <x:c r="B510" s="52" t="str">
        <x:v>Нийт</x:v>
      </x:c>
      <x:c r="C510" s="52" t="str">
        <x:v>Гайк /м8/</x:v>
      </x:c>
      <x:c r="D510" s="52" t="str"/>
      <x:c r="E510" s="52" t="str">
        <x:v>ш</x:v>
      </x:c>
      <x:c r="F510" s="53" t="n">
        <x:v>100</x:v>
      </x:c>
      <x:c r="G510" s="54" t="n">
        <x:v>500</x:v>
      </x:c>
      <x:c r="H510" s="54" t="n">
        <x:v>50000</x:v>
      </x:c>
      <x:c r="I510" s="54" t="n">
        <x:f>IF(AND(ISNUMBER(F510),ISNUMBER(G510)),ROUND(F510*G510,0),H510)</x:f>
        <x:v>50000</x:v>
      </x:c>
      <x:c r="J510" s="54" t="n">
        <x:f>I510-H510</x:f>
        <x:v>0</x:v>
      </x:c>
      <x:c r="K510" s="51" t="str">
        <x:v>Материал</x:v>
      </x:c>
      <x:c r="L510" s="51" t="str">
        <x:f>IF(J510=0,"OK","Шалгах")</x:f>
        <x:v>OK</x:v>
      </x:c>
      <x:c r="M510" s="51" t="str">
        <x:v>Сантехник</x:v>
      </x:c>
      <x:c r="N510" s="51" t="n">
        <x:v>218</x:v>
      </x:c>
    </x:row>
    <x:row r="511">
      <x:c r="A511" s="51" t="str">
        <x:v>MAT-6R-0497</x:v>
      </x:c>
      <x:c r="B511" s="52" t="str">
        <x:v>Нийт</x:v>
      </x:c>
      <x:c r="C511" s="52" t="str">
        <x:v>Босоо душ</x:v>
      </x:c>
      <x:c r="D511" s="52" t="str"/>
      <x:c r="E511" s="52" t="str">
        <x:v>ш</x:v>
      </x:c>
      <x:c r="F511" s="53" t="n">
        <x:v>33</x:v>
      </x:c>
      <x:c r="G511" s="54" t="n">
        <x:v>750000</x:v>
      </x:c>
      <x:c r="H511" s="54" t="n">
        <x:v>24750000</x:v>
      </x:c>
      <x:c r="I511" s="54" t="n">
        <x:f>IF(AND(ISNUMBER(F511),ISNUMBER(G511)),ROUND(F511*G511,0),H511)</x:f>
        <x:v>24750000</x:v>
      </x:c>
      <x:c r="J511" s="54" t="n">
        <x:f>I511-H511</x:f>
        <x:v>0</x:v>
      </x:c>
      <x:c r="K511" s="51" t="str">
        <x:v>Материал</x:v>
      </x:c>
      <x:c r="L511" s="51" t="str">
        <x:f>IF(J511=0,"OK","Шалгах")</x:f>
        <x:v>OK</x:v>
      </x:c>
      <x:c r="M511" s="51" t="str">
        <x:v>Сантехник</x:v>
      </x:c>
      <x:c r="N511" s="51" t="n">
        <x:v>219</x:v>
      </x:c>
    </x:row>
    <x:row r="512">
      <x:c r="A512" s="51" t="str">
        <x:v>MAT-6R-0498</x:v>
      </x:c>
      <x:c r="B512" s="52" t="str">
        <x:v>Нийт</x:v>
      </x:c>
      <x:c r="C512" s="52" t="str">
        <x:v>Душны холигч, шүршүүр ком</x:v>
      </x:c>
      <x:c r="D512" s="52" t="str"/>
      <x:c r="E512" s="52" t="str">
        <x:v>ш</x:v>
      </x:c>
      <x:c r="F512" s="53" t="n">
        <x:v>33</x:v>
      </x:c>
      <x:c r="G512" s="54" t="n">
        <x:v>185000</x:v>
      </x:c>
      <x:c r="H512" s="54" t="n">
        <x:v>6105000</x:v>
      </x:c>
      <x:c r="I512" s="54" t="n">
        <x:f>IF(AND(ISNUMBER(F512),ISNUMBER(G512)),ROUND(F512*G512,0),H512)</x:f>
        <x:v>6105000</x:v>
      </x:c>
      <x:c r="J512" s="54" t="n">
        <x:f>I512-H512</x:f>
        <x:v>0</x:v>
      </x:c>
      <x:c r="K512" s="51" t="str">
        <x:v>Материал</x:v>
      </x:c>
      <x:c r="L512" s="51" t="str">
        <x:f>IF(J512=0,"OK","Шалгах")</x:f>
        <x:v>OK</x:v>
      </x:c>
      <x:c r="M512" s="51" t="str">
        <x:v>Сантехник</x:v>
      </x:c>
      <x:c r="N512" s="51" t="n">
        <x:v>220</x:v>
      </x:c>
    </x:row>
    <x:row r="513">
      <x:c r="A513" s="51" t="str">
        <x:v>MAT-6R-0499</x:v>
      </x:c>
      <x:c r="B513" s="52" t="str">
        <x:v>Нийт</x:v>
      </x:c>
      <x:c r="C513" s="52" t="str">
        <x:v>Трап Ф50 /Босоо уналттай/</x:v>
      </x:c>
      <x:c r="D513" s="52" t="str"/>
      <x:c r="E513" s="52" t="str">
        <x:v>ш</x:v>
      </x:c>
      <x:c r="F513" s="53" t="n">
        <x:v>153</x:v>
      </x:c>
      <x:c r="G513" s="54" t="n">
        <x:v>16500</x:v>
      </x:c>
      <x:c r="H513" s="54" t="n">
        <x:v>2524500</x:v>
      </x:c>
      <x:c r="I513" s="54" t="n">
        <x:f>IF(AND(ISNUMBER(F513),ISNUMBER(G513)),ROUND(F513*G513,0),H513)</x:f>
        <x:v>2524500</x:v>
      </x:c>
      <x:c r="J513" s="54" t="n">
        <x:f>I513-H513</x:f>
        <x:v>0</x:v>
      </x:c>
      <x:c r="K513" s="51" t="str">
        <x:v>Материал</x:v>
      </x:c>
      <x:c r="L513" s="51" t="str">
        <x:f>IF(J513=0,"OK","Шалгах")</x:f>
        <x:v>OK</x:v>
      </x:c>
      <x:c r="M513" s="51" t="str">
        <x:v>Сантехник</x:v>
      </x:c>
      <x:c r="N513" s="51" t="n">
        <x:v>221</x:v>
      </x:c>
    </x:row>
    <x:row r="514">
      <x:c r="A514" s="51" t="str">
        <x:v>MAT-6R-0500</x:v>
      </x:c>
      <x:c r="B514" s="52" t="str">
        <x:v>Нийт</x:v>
      </x:c>
      <x:c r="C514" s="52" t="str">
        <x:v>Аваарын хаалт</x:v>
      </x:c>
      <x:c r="D514" s="52" t="str"/>
      <x:c r="E514" s="52" t="str"/>
      <x:c r="F514" s="53" t="n">
        <x:v>1032</x:v>
      </x:c>
      <x:c r="G514" s="54" t="n">
        <x:v>15000</x:v>
      </x:c>
      <x:c r="H514" s="54" t="n">
        <x:v>15480000</x:v>
      </x:c>
      <x:c r="I514" s="54" t="n">
        <x:f>IF(AND(ISNUMBER(F514),ISNUMBER(G514)),ROUND(F514*G514,0),H514)</x:f>
        <x:v>15480000</x:v>
      </x:c>
      <x:c r="J514" s="54" t="n">
        <x:f>I514-H514</x:f>
        <x:v>0</x:v>
      </x:c>
      <x:c r="K514" s="51" t="str">
        <x:v>Материал</x:v>
      </x:c>
      <x:c r="L514" s="51" t="str">
        <x:f>IF(J514=0,"OK","Шалгах")</x:f>
        <x:v>OK</x:v>
      </x:c>
      <x:c r="M514" s="51" t="str">
        <x:v>Сантехник</x:v>
      </x:c>
      <x:c r="N514" s="51" t="n">
        <x:v>222</x:v>
      </x:c>
    </x:row>
    <x:row r="515">
      <x:c r="A515" s="51" t="str">
        <x:v>MAT-6R-0501</x:v>
      </x:c>
      <x:c r="B515" s="52" t="str">
        <x:v>Борооны ус зайлуулах систем</x:v>
      </x:c>
      <x:c r="C515" s="52" t="str">
        <x:v>цайрдсан труба Ф150</x:v>
      </x:c>
      <x:c r="D515" s="52" t="str"/>
      <x:c r="E515" s="52" t="str">
        <x:v>у/м</x:v>
      </x:c>
      <x:c r="F515" s="53" t="n">
        <x:v>140</x:v>
      </x:c>
      <x:c r="G515" s="54" t="n">
        <x:v>103680</x:v>
      </x:c>
      <x:c r="H515" s="54" t="n">
        <x:v>14515200</x:v>
      </x:c>
      <x:c r="I515" s="54" t="n">
        <x:f>IF(AND(ISNUMBER(F515),ISNUMBER(G515)),ROUND(F515*G515,0),H515)</x:f>
        <x:v>14515200</x:v>
      </x:c>
      <x:c r="J515" s="54" t="n">
        <x:f>I515-H515</x:f>
        <x:v>0</x:v>
      </x:c>
      <x:c r="K515" s="51" t="str">
        <x:v>Материал</x:v>
      </x:c>
      <x:c r="L515" s="51" t="str">
        <x:f>IF(J515=0,"OK","Шалгах")</x:f>
        <x:v>OK</x:v>
      </x:c>
      <x:c r="M515" s="51" t="str">
        <x:v>Сантехник</x:v>
      </x:c>
      <x:c r="N515" s="51" t="n">
        <x:v>224</x:v>
      </x:c>
    </x:row>
    <x:row r="516">
      <x:c r="A516" s="51" t="str">
        <x:v>MAT-6R-0502</x:v>
      </x:c>
      <x:c r="B516" s="52" t="str">
        <x:v>Борооны ус зайлуулах систем</x:v>
      </x:c>
      <x:c r="C516" s="52" t="str">
        <x:v>Цайрдсан булан Ф150</x:v>
      </x:c>
      <x:c r="D516" s="52" t="str"/>
      <x:c r="E516" s="52" t="str">
        <x:v>ш</x:v>
      </x:c>
      <x:c r="F516" s="53" t="n">
        <x:v>14</x:v>
      </x:c>
      <x:c r="G516" s="54" t="n">
        <x:v>155000</x:v>
      </x:c>
      <x:c r="H516" s="54" t="n">
        <x:v>2170000</x:v>
      </x:c>
      <x:c r="I516" s="54" t="n">
        <x:f>IF(AND(ISNUMBER(F516),ISNUMBER(G516)),ROUND(F516*G516,0),H516)</x:f>
        <x:v>2170000</x:v>
      </x:c>
      <x:c r="J516" s="54" t="n">
        <x:f>I516-H516</x:f>
        <x:v>0</x:v>
      </x:c>
      <x:c r="K516" s="51" t="str">
        <x:v>Материал</x:v>
      </x:c>
      <x:c r="L516" s="51" t="str">
        <x:f>IF(J516=0,"OK","Шалгах")</x:f>
        <x:v>OK</x:v>
      </x:c>
      <x:c r="M516" s="51" t="str">
        <x:v>Сантехник</x:v>
      </x:c>
      <x:c r="N516" s="51" t="n">
        <x:v>225</x:v>
      </x:c>
    </x:row>
    <x:row r="517">
      <x:c r="A517" s="51" t="str">
        <x:v>MAT-6R-0503</x:v>
      </x:c>
      <x:c r="B517" s="52" t="str">
        <x:v>Борооны ус зайлуулах систем</x:v>
      </x:c>
      <x:c r="C517" s="52" t="str">
        <x:v>Цайрдсан тройник Ф150*150</x:v>
      </x:c>
      <x:c r="D517" s="52" t="str"/>
      <x:c r="E517" s="52" t="str">
        <x:v>ш</x:v>
      </x:c>
      <x:c r="F517" s="53" t="n">
        <x:v>2</x:v>
      </x:c>
      <x:c r="G517" s="54" t="n">
        <x:v>187000</x:v>
      </x:c>
      <x:c r="H517" s="54" t="n">
        <x:v>374000</x:v>
      </x:c>
      <x:c r="I517" s="54" t="n">
        <x:f>IF(AND(ISNUMBER(F517),ISNUMBER(G517)),ROUND(F517*G517,0),H517)</x:f>
        <x:v>374000</x:v>
      </x:c>
      <x:c r="J517" s="54" t="n">
        <x:f>I517-H517</x:f>
        <x:v>0</x:v>
      </x:c>
      <x:c r="K517" s="51" t="str">
        <x:v>Материал</x:v>
      </x:c>
      <x:c r="L517" s="51" t="str">
        <x:f>IF(J517=0,"OK","Шалгах")</x:f>
        <x:v>OK</x:v>
      </x:c>
      <x:c r="M517" s="51" t="str">
        <x:v>Сантехник</x:v>
      </x:c>
      <x:c r="N517" s="51" t="n">
        <x:v>226</x:v>
      </x:c>
    </x:row>
    <x:row r="518">
      <x:c r="A518" s="51" t="str">
        <x:v>MAT-6R-0504</x:v>
      </x:c>
      <x:c r="B518" s="52" t="str">
        <x:v>Борооны ус зайлуулах систем</x:v>
      </x:c>
      <x:c r="C518" s="52" t="str">
        <x:v>Цайрдсан заглужка Ф150</x:v>
      </x:c>
      <x:c r="D518" s="52" t="str"/>
      <x:c r="E518" s="52" t="str">
        <x:v>ш</x:v>
      </x:c>
      <x:c r="F518" s="53" t="n">
        <x:v>2</x:v>
      </x:c>
      <x:c r="G518" s="54" t="n">
        <x:v>36000</x:v>
      </x:c>
      <x:c r="H518" s="54" t="n">
        <x:v>72000</x:v>
      </x:c>
      <x:c r="I518" s="54" t="n">
        <x:f>IF(AND(ISNUMBER(F518),ISNUMBER(G518)),ROUND(F518*G518,0),H518)</x:f>
        <x:v>72000</x:v>
      </x:c>
      <x:c r="J518" s="54" t="n">
        <x:f>I518-H518</x:f>
        <x:v>0</x:v>
      </x:c>
      <x:c r="K518" s="51" t="str">
        <x:v>Материал</x:v>
      </x:c>
      <x:c r="L518" s="51" t="str">
        <x:f>IF(J518=0,"OK","Шалгах")</x:f>
        <x:v>OK</x:v>
      </x:c>
      <x:c r="M518" s="51" t="str">
        <x:v>Сантехник</x:v>
      </x:c>
      <x:c r="N518" s="51" t="n">
        <x:v>227</x:v>
      </x:c>
    </x:row>
    <x:row r="519">
      <x:c r="A519" s="51" t="str">
        <x:v>MAT-6R-0505</x:v>
      </x:c>
      <x:c r="B519" s="52" t="str">
        <x:v>Борооны ус зайлуулах систем</x:v>
      </x:c>
      <x:c r="C519" s="52" t="str">
        <x:v>Фланц Ф150</x:v>
      </x:c>
      <x:c r="D519" s="52" t="str"/>
      <x:c r="E519" s="52" t="str">
        <x:v>ш</x:v>
      </x:c>
      <x:c r="F519" s="53" t="n">
        <x:v>4</x:v>
      </x:c>
      <x:c r="G519" s="54" t="n">
        <x:v>31000</x:v>
      </x:c>
      <x:c r="H519" s="54" t="n">
        <x:v>124000</x:v>
      </x:c>
      <x:c r="I519" s="54" t="n">
        <x:f>IF(AND(ISNUMBER(F519),ISNUMBER(G519)),ROUND(F519*G519,0),H519)</x:f>
        <x:v>124000</x:v>
      </x:c>
      <x:c r="J519" s="54" t="n">
        <x:f>I519-H519</x:f>
        <x:v>0</x:v>
      </x:c>
      <x:c r="K519" s="51" t="str">
        <x:v>Материал</x:v>
      </x:c>
      <x:c r="L519" s="51" t="str">
        <x:f>IF(J519=0,"OK","Шалгах")</x:f>
        <x:v>OK</x:v>
      </x:c>
      <x:c r="M519" s="51" t="str">
        <x:v>Сантехник</x:v>
      </x:c>
      <x:c r="N519" s="51" t="n">
        <x:v>228</x:v>
      </x:c>
    </x:row>
    <x:row r="520">
      <x:c r="A520" s="51" t="str">
        <x:v>MAT-6R-0506</x:v>
      </x:c>
      <x:c r="B520" s="52" t="str">
        <x:v>Борооны ус зайлуулах систем</x:v>
      </x:c>
      <x:c r="C520" s="52" t="str">
        <x:v>Паронит Ф150</x:v>
      </x:c>
      <x:c r="D520" s="52" t="str"/>
      <x:c r="E520" s="52" t="str">
        <x:v>ш</x:v>
      </x:c>
      <x:c r="F520" s="53" t="n">
        <x:v>2</x:v>
      </x:c>
      <x:c r="G520" s="54" t="n">
        <x:v>3500</x:v>
      </x:c>
      <x:c r="H520" s="54" t="n">
        <x:v>7000</x:v>
      </x:c>
      <x:c r="I520" s="54" t="n">
        <x:f>IF(AND(ISNUMBER(F520),ISNUMBER(G520)),ROUND(F520*G520,0),H520)</x:f>
        <x:v>7000</x:v>
      </x:c>
      <x:c r="J520" s="54" t="n">
        <x:f>I520-H520</x:f>
        <x:v>0</x:v>
      </x:c>
      <x:c r="K520" s="51" t="str">
        <x:v>Материал</x:v>
      </x:c>
      <x:c r="L520" s="51" t="str">
        <x:f>IF(J520=0,"OK","Шалгах")</x:f>
        <x:v>OK</x:v>
      </x:c>
      <x:c r="M520" s="51" t="str">
        <x:v>Сантехник</x:v>
      </x:c>
      <x:c r="N520" s="51" t="n">
        <x:v>229</x:v>
      </x:c>
    </x:row>
    <x:row r="521">
      <x:c r="A521" s="51" t="str">
        <x:v>MAT-6R-0507</x:v>
      </x:c>
      <x:c r="B521" s="52" t="str">
        <x:v>Борооны ус зайлуулах систем</x:v>
      </x:c>
      <x:c r="C521" s="52" t="str">
        <x:v>М16 Гайк</x:v>
      </x:c>
      <x:c r="D521" s="52" t="str"/>
      <x:c r="E521" s="52" t="str">
        <x:v>ш</x:v>
      </x:c>
      <x:c r="F521" s="53" t="n">
        <x:v>12</x:v>
      </x:c>
      <x:c r="G521" s="54" t="n">
        <x:v>1300</x:v>
      </x:c>
      <x:c r="H521" s="54" t="n">
        <x:v>15600</x:v>
      </x:c>
      <x:c r="I521" s="54" t="n">
        <x:f>IF(AND(ISNUMBER(F521),ISNUMBER(G521)),ROUND(F521*G521,0),H521)</x:f>
        <x:v>15600</x:v>
      </x:c>
      <x:c r="J521" s="54" t="n">
        <x:f>I521-H521</x:f>
        <x:v>0</x:v>
      </x:c>
      <x:c r="K521" s="51" t="str">
        <x:v>Материал</x:v>
      </x:c>
      <x:c r="L521" s="51" t="str">
        <x:f>IF(J521=0,"OK","Шалгах")</x:f>
        <x:v>OK</x:v>
      </x:c>
      <x:c r="M521" s="51" t="str">
        <x:v>Сантехник</x:v>
      </x:c>
      <x:c r="N521" s="51" t="n">
        <x:v>230</x:v>
      </x:c>
    </x:row>
    <x:row r="522">
      <x:c r="A522" s="51" t="str">
        <x:v>MAT-6R-0508</x:v>
      </x:c>
      <x:c r="B522" s="52" t="str">
        <x:v>Борооны ус зайлуулах систем</x:v>
      </x:c>
      <x:c r="C522" s="52" t="str">
        <x:v>М16 боолт</x:v>
      </x:c>
      <x:c r="D522" s="52" t="str"/>
      <x:c r="E522" s="52" t="str">
        <x:v>ш</x:v>
      </x:c>
      <x:c r="F522" s="53" t="n">
        <x:v>12</x:v>
      </x:c>
      <x:c r="G522" s="54" t="n">
        <x:v>1300</x:v>
      </x:c>
      <x:c r="H522" s="54" t="n">
        <x:v>15600</x:v>
      </x:c>
      <x:c r="I522" s="54" t="n">
        <x:f>IF(AND(ISNUMBER(F522),ISNUMBER(G522)),ROUND(F522*G522,0),H522)</x:f>
        <x:v>15600</x:v>
      </x:c>
      <x:c r="J522" s="54" t="n">
        <x:f>I522-H522</x:f>
        <x:v>0</x:v>
      </x:c>
      <x:c r="K522" s="51" t="str">
        <x:v>Материал</x:v>
      </x:c>
      <x:c r="L522" s="51" t="str">
        <x:f>IF(J522=0,"OK","Шалгах")</x:f>
        <x:v>OK</x:v>
      </x:c>
      <x:c r="M522" s="51" t="str">
        <x:v>Сантехник</x:v>
      </x:c>
      <x:c r="N522" s="51" t="n">
        <x:v>231</x:v>
      </x:c>
    </x:row>
    <x:row r="523">
      <x:c r="A523" s="51" t="str">
        <x:v>MAT-6R-0509</x:v>
      </x:c>
      <x:c r="B523" s="52" t="str">
        <x:v>Борооны ус зайлуулах систем</x:v>
      </x:c>
      <x:c r="C523" s="52" t="str">
        <x:v>5 Швелер 16П</x:v>
      </x:c>
      <x:c r="D523" s="52" t="str"/>
      <x:c r="E523" s="52" t="str">
        <x:v>у/м</x:v>
      </x:c>
      <x:c r="F523" s="53" t="n">
        <x:v>18</x:v>
      </x:c>
      <x:c r="G523" s="54" t="n">
        <x:v>35960</x:v>
      </x:c>
      <x:c r="H523" s="54" t="n">
        <x:v>647280</x:v>
      </x:c>
      <x:c r="I523" s="54" t="n">
        <x:f>IF(AND(ISNUMBER(F523),ISNUMBER(G523)),ROUND(F523*G523,0),H523)</x:f>
        <x:v>647280</x:v>
      </x:c>
      <x:c r="J523" s="54" t="n">
        <x:f>I523-H523</x:f>
        <x:v>0</x:v>
      </x:c>
      <x:c r="K523" s="51" t="str">
        <x:v>Материал</x:v>
      </x:c>
      <x:c r="L523" s="51" t="str">
        <x:f>IF(J523=0,"OK","Шалгах")</x:f>
        <x:v>OK</x:v>
      </x:c>
      <x:c r="M523" s="51" t="str">
        <x:v>Сантехник</x:v>
      </x:c>
      <x:c r="N523" s="51" t="n">
        <x:v>232</x:v>
      </x:c>
    </x:row>
    <x:row r="524">
      <x:c r="A524" s="51" t="str">
        <x:v>MAT-6R-0510</x:v>
      </x:c>
      <x:c r="B524" s="52" t="str">
        <x:v>Дулааны узель</x:v>
      </x:c>
      <x:c r="C524" s="52" t="str">
        <x:v>Ялтсан дулаан солилцуур BRO.15Q-7m2, 600kw</x:v>
      </x:c>
      <x:c r="D524" s="52" t="str">
        <x:v>Халаалтын системийн ус халаагч/Доод бүс/ Q=600кВт</x:v>
      </x:c>
      <x:c r="E524" s="52" t="str">
        <x:v>ш</x:v>
      </x:c>
      <x:c r="F524" s="53" t="n">
        <x:v>1</x:v>
      </x:c>
      <x:c r="G524" s="54" t="n">
        <x:v>3900000</x:v>
      </x:c>
      <x:c r="H524" s="54" t="n">
        <x:v>3900000</x:v>
      </x:c>
      <x:c r="I524" s="54" t="n">
        <x:f>IF(AND(ISNUMBER(F524),ISNUMBER(G524)),ROUND(F524*G524,0),H524)</x:f>
        <x:v>3900000</x:v>
      </x:c>
      <x:c r="J524" s="54" t="n">
        <x:f>I524-H524</x:f>
        <x:v>0</x:v>
      </x:c>
      <x:c r="K524" s="51" t="str">
        <x:v>Материал/тоноглол</x:v>
      </x:c>
      <x:c r="L524" s="51" t="str">
        <x:f>IF(J524=0,"OK","Шалгах")</x:f>
        <x:v>OK</x:v>
      </x:c>
      <x:c r="M524" s="51" t="str">
        <x:v>Узель</x:v>
      </x:c>
      <x:c r="N524" s="51" t="n">
        <x:v>6</x:v>
      </x:c>
    </x:row>
    <x:row r="525">
      <x:c r="A525" s="51" t="str">
        <x:v>MAT-6R-0511</x:v>
      </x:c>
      <x:c r="B525" s="52" t="str">
        <x:v>Дулааны узель</x:v>
      </x:c>
      <x:c r="C525" s="52" t="str">
        <x:v>Ялтсан дулаан солилцуур BRO.25Q-10m2, 880kw</x:v>
      </x:c>
      <x:c r="D525" s="52" t="str">
        <x:v>Халаалтын системийн ус халаагч /Дээд бүс/ Q=800кВт</x:v>
      </x:c>
      <x:c r="E525" s="52" t="str">
        <x:v>ш</x:v>
      </x:c>
      <x:c r="F525" s="53" t="n">
        <x:v>1</x:v>
      </x:c>
      <x:c r="G525" s="54" t="n">
        <x:v>5250000</x:v>
      </x:c>
      <x:c r="H525" s="54" t="n">
        <x:v>5250000</x:v>
      </x:c>
      <x:c r="I525" s="54" t="n">
        <x:f>IF(AND(ISNUMBER(F525),ISNUMBER(G525)),ROUND(F525*G525,0),H525)</x:f>
        <x:v>5250000</x:v>
      </x:c>
      <x:c r="J525" s="54" t="n">
        <x:f>I525-H525</x:f>
        <x:v>0</x:v>
      </x:c>
      <x:c r="K525" s="51" t="str">
        <x:v>Материал/тоноглол</x:v>
      </x:c>
      <x:c r="L525" s="51" t="str">
        <x:f>IF(J525=0,"OK","Шалгах")</x:f>
        <x:v>OK</x:v>
      </x:c>
      <x:c r="M525" s="51" t="str">
        <x:v>Узель</x:v>
      </x:c>
      <x:c r="N525" s="51" t="n">
        <x:v>7</x:v>
      </x:c>
    </x:row>
    <x:row r="526">
      <x:c r="A526" s="51" t="str">
        <x:v>MAT-6R-0512</x:v>
      </x:c>
      <x:c r="B526" s="52" t="str">
        <x:v>Дулааны узель</x:v>
      </x:c>
      <x:c r="C526" s="52" t="str">
        <x:v>Ялтсан дулаан солилцуур BRO.25Q-8m2, 700kw</x:v>
      </x:c>
      <x:c r="D526" s="52" t="str">
        <x:v>Халуун усны системийн ус халаагч Q=700кВт</x:v>
      </x:c>
      <x:c r="E526" s="52" t="str">
        <x:v>ш</x:v>
      </x:c>
      <x:c r="F526" s="53" t="n">
        <x:v>1</x:v>
      </x:c>
      <x:c r="G526" s="54" t="n">
        <x:v>4350000</x:v>
      </x:c>
      <x:c r="H526" s="54" t="n">
        <x:v>4350000</x:v>
      </x:c>
      <x:c r="I526" s="54" t="n">
        <x:f>IF(AND(ISNUMBER(F526),ISNUMBER(G526)),ROUND(F526*G526,0),H526)</x:f>
        <x:v>4350000</x:v>
      </x:c>
      <x:c r="J526" s="54" t="n">
        <x:f>I526-H526</x:f>
        <x:v>0</x:v>
      </x:c>
      <x:c r="K526" s="51" t="str">
        <x:v>Материал/тоноглол</x:v>
      </x:c>
      <x:c r="L526" s="51" t="str">
        <x:f>IF(J526=0,"OK","Шалгах")</x:f>
        <x:v>OK</x:v>
      </x:c>
      <x:c r="M526" s="51" t="str">
        <x:v>Узель</x:v>
      </x:c>
      <x:c r="N526" s="51" t="n">
        <x:v>8</x:v>
      </x:c>
    </x:row>
    <x:row r="527">
      <x:c r="A527" s="51" t="str">
        <x:v>MAT-6R-0513</x:v>
      </x:c>
      <x:c r="B527" s="52" t="str">
        <x:v>Дулааны узель</x:v>
      </x:c>
      <x:c r="C527" s="52" t="str">
        <x:v>CNP, TD65-51/2</x:v>
      </x:c>
      <x:c r="D527" s="52" t="str">
        <x:v>Халаалтын сүлжээний насос /дээд бүс/ H=24м, G=48м3/цаг, 380v</x:v>
      </x:c>
      <x:c r="E527" s="52" t="str">
        <x:v>ш</x:v>
      </x:c>
      <x:c r="F527" s="53" t="n">
        <x:v>2</x:v>
      </x:c>
      <x:c r="G527" s="54" t="n">
        <x:v>3900000</x:v>
      </x:c>
      <x:c r="H527" s="54" t="n">
        <x:v>7800000</x:v>
      </x:c>
      <x:c r="I527" s="54" t="n">
        <x:f>IF(AND(ISNUMBER(F527),ISNUMBER(G527)),ROUND(F527*G527,0),H527)</x:f>
        <x:v>7800000</x:v>
      </x:c>
      <x:c r="J527" s="54" t="n">
        <x:f>I527-H527</x:f>
        <x:v>0</x:v>
      </x:c>
      <x:c r="K527" s="51" t="str">
        <x:v>Материал/тоноглол</x:v>
      </x:c>
      <x:c r="L527" s="51" t="str">
        <x:f>IF(J527=0,"OK","Шалгах")</x:f>
        <x:v>OK</x:v>
      </x:c>
      <x:c r="M527" s="51" t="str">
        <x:v>Узель</x:v>
      </x:c>
      <x:c r="N527" s="51" t="n">
        <x:v>9</x:v>
      </x:c>
    </x:row>
    <x:row r="528">
      <x:c r="A528" s="51" t="str">
        <x:v>MAT-6R-0514</x:v>
      </x:c>
      <x:c r="B528" s="52" t="str">
        <x:v>Дулааны узель</x:v>
      </x:c>
      <x:c r="C528" s="52" t="str">
        <x:v>CNP, TD65-61/2</x:v>
      </x:c>
      <x:c r="D528" s="52" t="str">
        <x:v>Халаалтын сүлжээний насос /дooд бүс/ H=15м, G=62м3/цаг, 380v</x:v>
      </x:c>
      <x:c r="E528" s="52" t="str">
        <x:v>ш</x:v>
      </x:c>
      <x:c r="F528" s="53" t="n">
        <x:v>2</x:v>
      </x:c>
      <x:c r="G528" s="54" t="n">
        <x:v>2775000</x:v>
      </x:c>
      <x:c r="H528" s="54" t="n">
        <x:v>5550000</x:v>
      </x:c>
      <x:c r="I528" s="54" t="n">
        <x:f>IF(AND(ISNUMBER(F528),ISNUMBER(G528)),ROUND(F528*G528,0),H528)</x:f>
        <x:v>5550000</x:v>
      </x:c>
      <x:c r="J528" s="54" t="n">
        <x:f>I528-H528</x:f>
        <x:v>0</x:v>
      </x:c>
      <x:c r="K528" s="51" t="str">
        <x:v>Материал/тоноглол</x:v>
      </x:c>
      <x:c r="L528" s="51" t="str">
        <x:f>IF(J528=0,"OK","Шалгах")</x:f>
        <x:v>OK</x:v>
      </x:c>
      <x:c r="M528" s="51" t="str">
        <x:v>Узель</x:v>
      </x:c>
      <x:c r="N528" s="51" t="n">
        <x:v>10</x:v>
      </x:c>
    </x:row>
    <x:row r="529">
      <x:c r="A529" s="51" t="str">
        <x:v>MAT-6R-0515</x:v>
      </x:c>
      <x:c r="B529" s="52" t="str">
        <x:v>Дулааны узель</x:v>
      </x:c>
      <x:c r="C529" s="52" t="str">
        <x:v>CNP, TD65-19/2</x:v>
      </x:c>
      <x:c r="D529" s="52" t="str">
        <x:v>Хэ.халуун усны эргэлтийн насос H=18м, G=12м3/цаг, 3кВт, 380v</x:v>
      </x:c>
      <x:c r="E529" s="52" t="str">
        <x:v>ш</x:v>
      </x:c>
      <x:c r="F529" s="53" t="n">
        <x:v>2</x:v>
      </x:c>
      <x:c r="G529" s="54" t="n">
        <x:v>1875000</x:v>
      </x:c>
      <x:c r="H529" s="54" t="n">
        <x:v>3750000</x:v>
      </x:c>
      <x:c r="I529" s="54" t="n">
        <x:f>IF(AND(ISNUMBER(F529),ISNUMBER(G529)),ROUND(F529*G529,0),H529)</x:f>
        <x:v>3750000</x:v>
      </x:c>
      <x:c r="J529" s="54" t="n">
        <x:f>I529-H529</x:f>
        <x:v>0</x:v>
      </x:c>
      <x:c r="K529" s="51" t="str">
        <x:v>Материал/тоноглол</x:v>
      </x:c>
      <x:c r="L529" s="51" t="str">
        <x:f>IF(J529=0,"OK","Шалгах")</x:f>
        <x:v>OK</x:v>
      </x:c>
      <x:c r="M529" s="51" t="str">
        <x:v>Узель</x:v>
      </x:c>
      <x:c r="N529" s="51" t="n">
        <x:v>11</x:v>
      </x:c>
    </x:row>
    <x:row r="530">
      <x:c r="A530" s="51" t="str">
        <x:v>MAT-6R-0516</x:v>
      </x:c>
      <x:c r="B530" s="52" t="str">
        <x:v>Дулааны узель</x:v>
      </x:c>
      <x:c r="C530" s="52" t="str">
        <x:v>Унд ахуйн насос -доод бүс Q=4.5м3/цаг Н=47</x:v>
      </x:c>
      <x:c r="D530" s="52" t="str"/>
      <x:c r="E530" s="52" t="str">
        <x:v>ш</x:v>
      </x:c>
      <x:c r="F530" s="53" t="n">
        <x:v>1</x:v>
      </x:c>
      <x:c r="G530" s="54" t="n">
        <x:v>1650000</x:v>
      </x:c>
      <x:c r="H530" s="54" t="n">
        <x:v>1650000</x:v>
      </x:c>
      <x:c r="I530" s="54" t="n">
        <x:f>IF(AND(ISNUMBER(F530),ISNUMBER(G530)),ROUND(F530*G530,0),H530)</x:f>
        <x:v>1650000</x:v>
      </x:c>
      <x:c r="J530" s="54" t="n">
        <x:f>I530-H530</x:f>
        <x:v>0</x:v>
      </x:c>
      <x:c r="K530" s="51" t="str">
        <x:v>Материал/тоноглол</x:v>
      </x:c>
      <x:c r="L530" s="51" t="str">
        <x:f>IF(J530=0,"OK","Шалгах")</x:f>
        <x:v>OK</x:v>
      </x:c>
      <x:c r="M530" s="51" t="str">
        <x:v>Узель</x:v>
      </x:c>
      <x:c r="N530" s="51" t="n">
        <x:v>12</x:v>
      </x:c>
    </x:row>
    <x:row r="531">
      <x:c r="A531" s="51" t="str">
        <x:v>MAT-6R-0517</x:v>
      </x:c>
      <x:c r="B531" s="52" t="str">
        <x:v>Дулааны узель</x:v>
      </x:c>
      <x:c r="C531" s="52" t="str">
        <x:v>Унд ахуйн насос -доод бүс Q=4.5м3/цаг Н=74</x:v>
      </x:c>
      <x:c r="D531" s="52" t="str"/>
      <x:c r="E531" s="52" t="str">
        <x:v>ш</x:v>
      </x:c>
      <x:c r="F531" s="53" t="n">
        <x:v>1</x:v>
      </x:c>
      <x:c r="G531" s="54" t="n">
        <x:v>1750000</x:v>
      </x:c>
      <x:c r="H531" s="54" t="n">
        <x:v>1750000</x:v>
      </x:c>
      <x:c r="I531" s="54" t="n">
        <x:f>IF(AND(ISNUMBER(F531),ISNUMBER(G531)),ROUND(F531*G531,0),H531)</x:f>
        <x:v>1750000</x:v>
      </x:c>
      <x:c r="J531" s="54" t="n">
        <x:f>I531-H531</x:f>
        <x:v>0</x:v>
      </x:c>
      <x:c r="K531" s="51" t="str">
        <x:v>Материал/тоноглол</x:v>
      </x:c>
      <x:c r="L531" s="51" t="str">
        <x:f>IF(J531=0,"OK","Шалгах")</x:f>
        <x:v>OK</x:v>
      </x:c>
      <x:c r="M531" s="51" t="str">
        <x:v>Узель</x:v>
      </x:c>
      <x:c r="N531" s="51" t="n">
        <x:v>13</x:v>
      </x:c>
    </x:row>
    <x:row r="532">
      <x:c r="A532" s="51" t="str">
        <x:v>MAT-6R-0518</x:v>
      </x:c>
      <x:c r="B532" s="52" t="str">
        <x:v>Дулааны узель</x:v>
      </x:c>
      <x:c r="C532" s="52" t="str">
        <x:v>Цахилгаан удирдлагатай хаалт TCV</x:v>
      </x:c>
      <x:c r="D532" s="52" t="str"/>
      <x:c r="E532" s="52" t="str"/>
      <x:c r="F532" s="53"/>
      <x:c r="G532" s="54"/>
      <x:c r="H532" s="54" t="n">
        <x:v>0</x:v>
      </x:c>
      <x:c r="I532" s="54" t="n">
        <x:f>IF(AND(ISNUMBER(F532),ISNUMBER(G532)),ROUND(F532*G532,0),H532)</x:f>
        <x:v>0</x:v>
      </x:c>
      <x:c r="J532" s="54" t="n">
        <x:f>I532-H532</x:f>
        <x:v>0</x:v>
      </x:c>
      <x:c r="K532" s="51" t="str">
        <x:v>Материал/тоноглол</x:v>
      </x:c>
      <x:c r="L532" s="51" t="str">
        <x:f>IF(J532=0,"OK","Шалгах")</x:f>
        <x:v>OK</x:v>
      </x:c>
      <x:c r="M532" s="51" t="str">
        <x:v>Узель</x:v>
      </x:c>
      <x:c r="N532" s="51" t="n">
        <x:v>14</x:v>
      </x:c>
    </x:row>
    <x:row r="533">
      <x:c r="A533" s="51" t="str">
        <x:v>MAT-6R-0519</x:v>
      </x:c>
      <x:c r="B533" s="52" t="str">
        <x:v>Дулааны узель</x:v>
      </x:c>
      <x:c r="C533" s="52" t="str">
        <x:v>SIEMENS Температур тохируулах автомат хаалт</x:v>
      </x:c>
      <x:c r="D533" s="52" t="str">
        <x:v>Халаалт Kvs max=28.6m3/h, DN76 /дээд бүс/</x:v>
      </x:c>
      <x:c r="E533" s="52" t="str">
        <x:v>ш</x:v>
      </x:c>
      <x:c r="F533" s="53" t="n">
        <x:v>1</x:v>
      </x:c>
      <x:c r="G533" s="54" t="n">
        <x:v>5775000</x:v>
      </x:c>
      <x:c r="H533" s="54" t="n">
        <x:v>5775000</x:v>
      </x:c>
      <x:c r="I533" s="54" t="n">
        <x:f>IF(AND(ISNUMBER(F533),ISNUMBER(G533)),ROUND(F533*G533,0),H533)</x:f>
        <x:v>5775000</x:v>
      </x:c>
      <x:c r="J533" s="54" t="n">
        <x:f>I533-H533</x:f>
        <x:v>0</x:v>
      </x:c>
      <x:c r="K533" s="51" t="str">
        <x:v>Материал/тоноглол</x:v>
      </x:c>
      <x:c r="L533" s="51" t="str">
        <x:f>IF(J533=0,"OK","Шалгах")</x:f>
        <x:v>OK</x:v>
      </x:c>
      <x:c r="M533" s="51" t="str">
        <x:v>Узель</x:v>
      </x:c>
      <x:c r="N533" s="51" t="n">
        <x:v>15</x:v>
      </x:c>
    </x:row>
    <x:row r="534">
      <x:c r="A534" s="51" t="str">
        <x:v>MAT-6R-0520</x:v>
      </x:c>
      <x:c r="B534" s="52" t="str">
        <x:v>Дулааны узель</x:v>
      </x:c>
      <x:c r="C534" s="52" t="str">
        <x:v>SIEMENS Температур тохируулах автомат хаалт</x:v>
      </x:c>
      <x:c r="D534" s="52" t="str">
        <x:v>Халаалт Kvs max=16.6m3/h, DN65 /доод бүс/</x:v>
      </x:c>
      <x:c r="E534" s="52" t="str">
        <x:v>ш</x:v>
      </x:c>
      <x:c r="F534" s="53" t="n">
        <x:v>1</x:v>
      </x:c>
      <x:c r="G534" s="54" t="n">
        <x:v>5470000</x:v>
      </x:c>
      <x:c r="H534" s="54" t="n">
        <x:v>5470000</x:v>
      </x:c>
      <x:c r="I534" s="54" t="n">
        <x:f>IF(AND(ISNUMBER(F534),ISNUMBER(G534)),ROUND(F534*G534,0),H534)</x:f>
        <x:v>5470000</x:v>
      </x:c>
      <x:c r="J534" s="54" t="n">
        <x:f>I534-H534</x:f>
        <x:v>0</x:v>
      </x:c>
      <x:c r="K534" s="51" t="str">
        <x:v>Материал/тоноглол</x:v>
      </x:c>
      <x:c r="L534" s="51" t="str">
        <x:f>IF(J534=0,"OK","Шалгах")</x:f>
        <x:v>OK</x:v>
      </x:c>
      <x:c r="M534" s="51" t="str">
        <x:v>Узель</x:v>
      </x:c>
      <x:c r="N534" s="51" t="n">
        <x:v>16</x:v>
      </x:c>
    </x:row>
    <x:row r="535">
      <x:c r="A535" s="51" t="str">
        <x:v>MAT-6R-0521</x:v>
      </x:c>
      <x:c r="B535" s="52" t="str">
        <x:v>Дулааны узель</x:v>
      </x:c>
      <x:c r="C535" s="52" t="str">
        <x:v>SIEMENS Температур тохируулах автомат хаалт</x:v>
      </x:c>
      <x:c r="D535" s="52" t="str">
        <x:v>ХХУс Kvs max=21.2m3/h, DN76</x:v>
      </x:c>
      <x:c r="E535" s="52" t="str">
        <x:v>ш</x:v>
      </x:c>
      <x:c r="F535" s="53" t="n">
        <x:v>1</x:v>
      </x:c>
      <x:c r="G535" s="54" t="n">
        <x:v>5775000</x:v>
      </x:c>
      <x:c r="H535" s="54" t="n">
        <x:v>5775000</x:v>
      </x:c>
      <x:c r="I535" s="54" t="n">
        <x:f>IF(AND(ISNUMBER(F535),ISNUMBER(G535)),ROUND(F535*G535,0),H535)</x:f>
        <x:v>5775000</x:v>
      </x:c>
      <x:c r="J535" s="54" t="n">
        <x:f>I535-H535</x:f>
        <x:v>0</x:v>
      </x:c>
      <x:c r="K535" s="51" t="str">
        <x:v>Материал/тоноглол</x:v>
      </x:c>
      <x:c r="L535" s="51" t="str">
        <x:f>IF(J535=0,"OK","Шалгах")</x:f>
        <x:v>OK</x:v>
      </x:c>
      <x:c r="M535" s="51" t="str">
        <x:v>Узель</x:v>
      </x:c>
      <x:c r="N535" s="51" t="n">
        <x:v>17</x:v>
      </x:c>
    </x:row>
    <x:row r="536">
      <x:c r="A536" s="51" t="str">
        <x:v>MAT-6R-0522</x:v>
      </x:c>
      <x:c r="B536" s="52" t="str">
        <x:v>Дулааны узель</x:v>
      </x:c>
      <x:c r="C536" s="52" t="str">
        <x:v>Даралт тохируулах хаалт</x:v>
      </x:c>
      <x:c r="D536" s="52" t="str">
        <x:v>DPCV хаалт Kvsмах=66.4m3/h DN80</x:v>
      </x:c>
      <x:c r="E536" s="52" t="str">
        <x:v>ш</x:v>
      </x:c>
      <x:c r="F536" s="53" t="n">
        <x:v>1</x:v>
      </x:c>
      <x:c r="G536" s="54" t="n">
        <x:v>11700000</x:v>
      </x:c>
      <x:c r="H536" s="54" t="n">
        <x:v>11700000</x:v>
      </x:c>
      <x:c r="I536" s="54" t="n">
        <x:f>IF(AND(ISNUMBER(F536),ISNUMBER(G536)),ROUND(F536*G536,0),H536)</x:f>
        <x:v>11700000</x:v>
      </x:c>
      <x:c r="J536" s="54" t="n">
        <x:f>I536-H536</x:f>
        <x:v>0</x:v>
      </x:c>
      <x:c r="K536" s="51" t="str">
        <x:v>Материал/тоноглол</x:v>
      </x:c>
      <x:c r="L536" s="51" t="str">
        <x:f>IF(J536=0,"OK","Шалгах")</x:f>
        <x:v>OK</x:v>
      </x:c>
      <x:c r="M536" s="51" t="str">
        <x:v>Узель</x:v>
      </x:c>
      <x:c r="N536" s="51" t="n">
        <x:v>18</x:v>
      </x:c>
    </x:row>
    <x:row r="537">
      <x:c r="A537" s="51" t="str">
        <x:v>MAT-6R-0523</x:v>
      </x:c>
      <x:c r="B537" s="52" t="str">
        <x:v>Дулааны узель</x:v>
      </x:c>
      <x:c r="C537" s="52" t="str">
        <x:v>V=500л</x:v>
      </x:c>
      <x:c r="D537" s="52" t="str">
        <x:v>Даралт барих сав 600л</x:v>
      </x:c>
      <x:c r="E537" s="52" t="str">
        <x:v>ш</x:v>
      </x:c>
      <x:c r="F537" s="53" t="n">
        <x:v>1</x:v>
      </x:c>
      <x:c r="G537" s="54" t="n">
        <x:v>2300000</x:v>
      </x:c>
      <x:c r="H537" s="54" t="n">
        <x:v>2300000</x:v>
      </x:c>
      <x:c r="I537" s="54" t="n">
        <x:f>IF(AND(ISNUMBER(F537),ISNUMBER(G537)),ROUND(F537*G537,0),H537)</x:f>
        <x:v>2300000</x:v>
      </x:c>
      <x:c r="J537" s="54" t="n">
        <x:f>I537-H537</x:f>
        <x:v>0</x:v>
      </x:c>
      <x:c r="K537" s="51" t="str">
        <x:v>Материал/тоноглол</x:v>
      </x:c>
      <x:c r="L537" s="51" t="str">
        <x:f>IF(J537=0,"OK","Шалгах")</x:f>
        <x:v>OK</x:v>
      </x:c>
      <x:c r="M537" s="51" t="str">
        <x:v>Узель</x:v>
      </x:c>
      <x:c r="N537" s="51" t="n">
        <x:v>19</x:v>
      </x:c>
    </x:row>
    <x:row r="538">
      <x:c r="A538" s="51" t="str">
        <x:v>MAT-6R-0524</x:v>
      </x:c>
      <x:c r="B538" s="52" t="str">
        <x:v>Дулааны узель</x:v>
      </x:c>
      <x:c r="C538" s="52" t="str">
        <x:v>CNP, CDM(F)15-5 P=4kw, Q=15m3/h, H=58m, DN50, V=380v</x:v>
      </x:c>
      <x:c r="D538" s="52" t="str">
        <x:v>Нэмэлт усны насос /дээд бүс/ H=54м, G=19м3/цаг, 380v</x:v>
      </x:c>
      <x:c r="E538" s="52" t="str">
        <x:v>ш</x:v>
      </x:c>
      <x:c r="F538" s="53" t="n">
        <x:v>1</x:v>
      </x:c>
      <x:c r="G538" s="54" t="n">
        <x:v>3450000</x:v>
      </x:c>
      <x:c r="H538" s="54" t="n">
        <x:v>3450000</x:v>
      </x:c>
      <x:c r="I538" s="54" t="n">
        <x:f>IF(AND(ISNUMBER(F538),ISNUMBER(G538)),ROUND(F538*G538,0),H538)</x:f>
        <x:v>3450000</x:v>
      </x:c>
      <x:c r="J538" s="54" t="n">
        <x:f>I538-H538</x:f>
        <x:v>0</x:v>
      </x:c>
      <x:c r="K538" s="51" t="str">
        <x:v>Материал/тоноглол</x:v>
      </x:c>
      <x:c r="L538" s="51" t="str">
        <x:f>IF(J538=0,"OK","Шалгах")</x:f>
        <x:v>OK</x:v>
      </x:c>
      <x:c r="M538" s="51" t="str">
        <x:v>Узель</x:v>
      </x:c>
      <x:c r="N538" s="51" t="n">
        <x:v>20</x:v>
      </x:c>
    </x:row>
    <x:row r="539">
      <x:c r="A539" s="51" t="str">
        <x:v>MAT-6R-0525</x:v>
      </x:c>
      <x:c r="B539" s="52" t="str">
        <x:v>Дулааны узель</x:v>
      </x:c>
      <x:c r="C539" s="52" t="str">
        <x:v>CNP, CDM(F)15-3 P=3kw, Q=15m3/h, H=34.5m, DN50, V=380v</x:v>
      </x:c>
      <x:c r="D539" s="52" t="str">
        <x:v>Нэмэлт усны насос /дooд бүс/ H=30м, G=14.4м3/цаг, 380v</x:v>
      </x:c>
      <x:c r="E539" s="52" t="str">
        <x:v>ш</x:v>
      </x:c>
      <x:c r="F539" s="53" t="n">
        <x:v>1</x:v>
      </x:c>
      <x:c r="G539" s="54" t="n">
        <x:v>2475000</x:v>
      </x:c>
      <x:c r="H539" s="54" t="n">
        <x:v>2475000</x:v>
      </x:c>
      <x:c r="I539" s="54" t="n">
        <x:f>IF(AND(ISNUMBER(F539),ISNUMBER(G539)),ROUND(F539*G539,0),H539)</x:f>
        <x:v>2475000</x:v>
      </x:c>
      <x:c r="J539" s="54" t="n">
        <x:f>I539-H539</x:f>
        <x:v>0</x:v>
      </x:c>
      <x:c r="K539" s="51" t="str">
        <x:v>Материал/тоноглол</x:v>
      </x:c>
      <x:c r="L539" s="51" t="str">
        <x:f>IF(J539=0,"OK","Шалгах")</x:f>
        <x:v>OK</x:v>
      </x:c>
      <x:c r="M539" s="51" t="str">
        <x:v>Узель</x:v>
      </x:c>
      <x:c r="N539" s="51" t="n">
        <x:v>21</x:v>
      </x:c>
    </x:row>
    <x:row r="540">
      <x:c r="A540" s="51" t="str">
        <x:v>MAT-6R-0526</x:v>
      </x:c>
      <x:c r="B540" s="52" t="str">
        <x:v>Дулааны узель</x:v>
      </x:c>
      <x:c r="C540" s="52" t="str">
        <x:v>30м3 (5*3*2)</x:v>
      </x:c>
      <x:c r="D540" s="52" t="str">
        <x:v>Нөөцийн сав 30м3</x:v>
      </x:c>
      <x:c r="E540" s="52" t="str">
        <x:v>ш</x:v>
      </x:c>
      <x:c r="F540" s="53" t="n">
        <x:v>1</x:v>
      </x:c>
      <x:c r="G540" s="54" t="n">
        <x:v>14000000</x:v>
      </x:c>
      <x:c r="H540" s="54" t="n">
        <x:v>14000000</x:v>
      </x:c>
      <x:c r="I540" s="54" t="n">
        <x:f>IF(AND(ISNUMBER(F540),ISNUMBER(G540)),ROUND(F540*G540,0),H540)</x:f>
        <x:v>14000000</x:v>
      </x:c>
      <x:c r="J540" s="54" t="n">
        <x:f>I540-H540</x:f>
        <x:v>0</x:v>
      </x:c>
      <x:c r="K540" s="51" t="str">
        <x:v>Материал/тоноглол</x:v>
      </x:c>
      <x:c r="L540" s="51" t="str">
        <x:f>IF(J540=0,"OK","Шалгах")</x:f>
        <x:v>OK</x:v>
      </x:c>
      <x:c r="M540" s="51" t="str">
        <x:v>Узель</x:v>
      </x:c>
      <x:c r="N540" s="51" t="n">
        <x:v>22</x:v>
      </x:c>
    </x:row>
    <x:row r="541">
      <x:c r="A541" s="51" t="str">
        <x:v>MAT-6R-0527</x:v>
      </x:c>
      <x:c r="B541" s="52" t="str">
        <x:v>Дулааны узель</x:v>
      </x:c>
      <x:c r="C541" s="52" t="str">
        <x:v>ф80</x:v>
      </x:c>
      <x:c r="D541" s="52" t="str">
        <x:v>Дулааны тоолуур</x:v>
      </x:c>
      <x:c r="E541" s="52" t="str">
        <x:v>ш</x:v>
      </x:c>
      <x:c r="F541" s="53" t="n">
        <x:v>1</x:v>
      </x:c>
      <x:c r="G541" s="54" t="n">
        <x:v>6295000</x:v>
      </x:c>
      <x:c r="H541" s="54" t="n">
        <x:v>6295000</x:v>
      </x:c>
      <x:c r="I541" s="54" t="n">
        <x:f>IF(AND(ISNUMBER(F541),ISNUMBER(G541)),ROUND(F541*G541,0),H541)</x:f>
        <x:v>6295000</x:v>
      </x:c>
      <x:c r="J541" s="54" t="n">
        <x:f>I541-H541</x:f>
        <x:v>0</x:v>
      </x:c>
      <x:c r="K541" s="51" t="str">
        <x:v>Материал/тоноглол</x:v>
      </x:c>
      <x:c r="L541" s="51" t="str">
        <x:f>IF(J541=0,"OK","Шалгах")</x:f>
        <x:v>OK</x:v>
      </x:c>
      <x:c r="M541" s="51" t="str">
        <x:v>Узель</x:v>
      </x:c>
      <x:c r="N541" s="51" t="n">
        <x:v>23</x:v>
      </x:c>
    </x:row>
    <x:row r="542">
      <x:c r="A542" s="51" t="str">
        <x:v>MAT-6R-0528</x:v>
      </x:c>
      <x:c r="B542" s="52" t="str">
        <x:v>Дулааны узель</x:v>
      </x:c>
      <x:c r="C542" s="52" t="str">
        <x:v>техникийн нөхцөлийн дагуу</x:v>
      </x:c>
      <x:c r="D542" s="52" t="str">
        <x:v>нэмэлт усны тоолуур ф50</x:v>
      </x:c>
      <x:c r="E542" s="52" t="str">
        <x:v>ш</x:v>
      </x:c>
      <x:c r="F542" s="53" t="n">
        <x:v>1</x:v>
      </x:c>
      <x:c r="G542" s="54" t="n">
        <x:v>320000</x:v>
      </x:c>
      <x:c r="H542" s="54" t="n">
        <x:v>320000</x:v>
      </x:c>
      <x:c r="I542" s="54" t="n">
        <x:f>IF(AND(ISNUMBER(F542),ISNUMBER(G542)),ROUND(F542*G542,0),H542)</x:f>
        <x:v>320000</x:v>
      </x:c>
      <x:c r="J542" s="54" t="n">
        <x:f>I542-H542</x:f>
        <x:v>0</x:v>
      </x:c>
      <x:c r="K542" s="51" t="str">
        <x:v>Материал/тоноглол</x:v>
      </x:c>
      <x:c r="L542" s="51" t="str">
        <x:f>IF(J542=0,"OK","Шалгах")</x:f>
        <x:v>OK</x:v>
      </x:c>
      <x:c r="M542" s="51" t="str">
        <x:v>Узель</x:v>
      </x:c>
      <x:c r="N542" s="51" t="n">
        <x:v>24</x:v>
      </x:c>
    </x:row>
    <x:row r="543">
      <x:c r="A543" s="51" t="str">
        <x:v>MAT-6R-0529</x:v>
      </x:c>
      <x:c r="B543" s="52" t="str">
        <x:v>Дулааны узель</x:v>
      </x:c>
      <x:c r="C543" s="52" t="str">
        <x:v>даралтын датчик</x:v>
      </x:c>
      <x:c r="D543" s="52" t="str">
        <x:v>Даралт мэдээллэгч</x:v>
      </x:c>
      <x:c r="E543" s="52" t="str">
        <x:v>ш</x:v>
      </x:c>
      <x:c r="F543" s="53" t="n">
        <x:v>2</x:v>
      </x:c>
      <x:c r="G543" s="54" t="n">
        <x:v>262500</x:v>
      </x:c>
      <x:c r="H543" s="54" t="n">
        <x:v>525000</x:v>
      </x:c>
      <x:c r="I543" s="54" t="n">
        <x:f>IF(AND(ISNUMBER(F543),ISNUMBER(G543)),ROUND(F543*G543,0),H543)</x:f>
        <x:v>525000</x:v>
      </x:c>
      <x:c r="J543" s="54" t="n">
        <x:f>I543-H543</x:f>
        <x:v>0</x:v>
      </x:c>
      <x:c r="K543" s="51" t="str">
        <x:v>Материал/тоноглол</x:v>
      </x:c>
      <x:c r="L543" s="51" t="str">
        <x:f>IF(J543=0,"OK","Шалгах")</x:f>
        <x:v>OK</x:v>
      </x:c>
      <x:c r="M543" s="51" t="str">
        <x:v>Узель</x:v>
      </x:c>
      <x:c r="N543" s="51" t="n">
        <x:v>25</x:v>
      </x:c>
    </x:row>
    <x:row r="544">
      <x:c r="A544" s="51" t="str">
        <x:v>MAT-6R-0530</x:v>
      </x:c>
      <x:c r="B544" s="52" t="str">
        <x:v>Дулааны узель</x:v>
      </x:c>
      <x:c r="C544" s="52" t="str">
        <x:v>ган</x:v>
      </x:c>
      <x:c r="D544" s="52" t="str">
        <x:v>Ф133 бөмбөлгөн хаалт</x:v>
      </x:c>
      <x:c r="E544" s="52" t="str">
        <x:v>ш</x:v>
      </x:c>
      <x:c r="F544" s="53" t="n">
        <x:v>2</x:v>
      </x:c>
      <x:c r="G544" s="54" t="n">
        <x:v>1050000</x:v>
      </x:c>
      <x:c r="H544" s="54" t="n">
        <x:v>2100000</x:v>
      </x:c>
      <x:c r="I544" s="54" t="n">
        <x:f>IF(AND(ISNUMBER(F544),ISNUMBER(G544)),ROUND(F544*G544,0),H544)</x:f>
        <x:v>2100000</x:v>
      </x:c>
      <x:c r="J544" s="54" t="n">
        <x:f>I544-H544</x:f>
        <x:v>0</x:v>
      </x:c>
      <x:c r="K544" s="51" t="str">
        <x:v>Материал/тоноглол</x:v>
      </x:c>
      <x:c r="L544" s="51" t="str">
        <x:f>IF(J544=0,"OK","Шалгах")</x:f>
        <x:v>OK</x:v>
      </x:c>
      <x:c r="M544" s="51" t="str">
        <x:v>Узель</x:v>
      </x:c>
      <x:c r="N544" s="51" t="n">
        <x:v>26</x:v>
      </x:c>
    </x:row>
    <x:row r="545">
      <x:c r="A545" s="51" t="str">
        <x:v>MAT-6R-0531</x:v>
      </x:c>
      <x:c r="B545" s="52" t="str">
        <x:v>Дулааны узель</x:v>
      </x:c>
      <x:c r="C545" s="52" t="str">
        <x:v>ган</x:v>
      </x:c>
      <x:c r="D545" s="52" t="str">
        <x:v>Ф100 бөмбөлгөн хаалт</x:v>
      </x:c>
      <x:c r="E545" s="52" t="str">
        <x:v>ш</x:v>
      </x:c>
      <x:c r="F545" s="53" t="n">
        <x:v>18</x:v>
      </x:c>
      <x:c r="G545" s="54" t="n">
        <x:v>800000</x:v>
      </x:c>
      <x:c r="H545" s="54" t="n">
        <x:v>14400000</x:v>
      </x:c>
      <x:c r="I545" s="54" t="n">
        <x:f>IF(AND(ISNUMBER(F545),ISNUMBER(G545)),ROUND(F545*G545,0),H545)</x:f>
        <x:v>14400000</x:v>
      </x:c>
      <x:c r="J545" s="54" t="n">
        <x:f>I545-H545</x:f>
        <x:v>0</x:v>
      </x:c>
      <x:c r="K545" s="51" t="str">
        <x:v>Материал/тоноглол</x:v>
      </x:c>
      <x:c r="L545" s="51" t="str">
        <x:f>IF(J545=0,"OK","Шалгах")</x:f>
        <x:v>OK</x:v>
      </x:c>
      <x:c r="M545" s="51" t="str">
        <x:v>Узель</x:v>
      </x:c>
      <x:c r="N545" s="51" t="n">
        <x:v>27</x:v>
      </x:c>
    </x:row>
    <x:row r="546">
      <x:c r="A546" s="51" t="str">
        <x:v>MAT-6R-0532</x:v>
      </x:c>
      <x:c r="B546" s="52" t="str">
        <x:v>Дулааны узель</x:v>
      </x:c>
      <x:c r="C546" s="52" t="str">
        <x:v>цайр</x:v>
      </x:c>
      <x:c r="D546" s="52" t="str">
        <x:v>Ф89 бөмбөлгөн хаалт</x:v>
      </x:c>
      <x:c r="E546" s="52" t="str">
        <x:v>ш</x:v>
      </x:c>
      <x:c r="F546" s="53" t="n">
        <x:v>6</x:v>
      </x:c>
      <x:c r="G546" s="54" t="n">
        <x:v>535000</x:v>
      </x:c>
      <x:c r="H546" s="54" t="n">
        <x:v>3210000</x:v>
      </x:c>
      <x:c r="I546" s="54" t="n">
        <x:f>IF(AND(ISNUMBER(F546),ISNUMBER(G546)),ROUND(F546*G546,0),H546)</x:f>
        <x:v>3210000</x:v>
      </x:c>
      <x:c r="J546" s="54" t="n">
        <x:f>I546-H546</x:f>
        <x:v>0</x:v>
      </x:c>
      <x:c r="K546" s="51" t="str">
        <x:v>Материал/тоноглол</x:v>
      </x:c>
      <x:c r="L546" s="51" t="str">
        <x:f>IF(J546=0,"OK","Шалгах")</x:f>
        <x:v>OK</x:v>
      </x:c>
      <x:c r="M546" s="51" t="str">
        <x:v>Узель</x:v>
      </x:c>
      <x:c r="N546" s="51" t="n">
        <x:v>28</x:v>
      </x:c>
    </x:row>
    <x:row r="547">
      <x:c r="A547" s="51" t="str">
        <x:v>MAT-6R-0533</x:v>
      </x:c>
      <x:c r="B547" s="52" t="str">
        <x:v>Дулааны узель</x:v>
      </x:c>
      <x:c r="C547" s="52" t="str">
        <x:v>ган</x:v>
      </x:c>
      <x:c r="D547" s="52" t="str">
        <x:v>Ф50 бөмбөлгөн хаалт</x:v>
      </x:c>
      <x:c r="E547" s="52" t="str">
        <x:v>ш</x:v>
      </x:c>
      <x:c r="F547" s="53" t="n">
        <x:v>4</x:v>
      </x:c>
      <x:c r="G547" s="54" t="n">
        <x:v>300000</x:v>
      </x:c>
      <x:c r="H547" s="54" t="n">
        <x:v>1200000</x:v>
      </x:c>
      <x:c r="I547" s="54" t="n">
        <x:f>IF(AND(ISNUMBER(F547),ISNUMBER(G547)),ROUND(F547*G547,0),H547)</x:f>
        <x:v>1200000</x:v>
      </x:c>
      <x:c r="J547" s="54" t="n">
        <x:f>I547-H547</x:f>
        <x:v>0</x:v>
      </x:c>
      <x:c r="K547" s="51" t="str">
        <x:v>Материал/тоноглол</x:v>
      </x:c>
      <x:c r="L547" s="51" t="str">
        <x:f>IF(J547=0,"OK","Шалгах")</x:f>
        <x:v>OK</x:v>
      </x:c>
      <x:c r="M547" s="51" t="str">
        <x:v>Узель</x:v>
      </x:c>
      <x:c r="N547" s="51" t="n">
        <x:v>29</x:v>
      </x:c>
    </x:row>
    <x:row r="548">
      <x:c r="A548" s="51" t="str">
        <x:v>MAT-6R-0534</x:v>
      </x:c>
      <x:c r="B548" s="52" t="str">
        <x:v>Дулааны узель</x:v>
      </x:c>
      <x:c r="C548" s="52" t="str">
        <x:v>фланцтай</x:v>
      </x:c>
      <x:c r="D548" s="52" t="str">
        <x:v>Ф133 Хог шүүгч</x:v>
      </x:c>
      <x:c r="E548" s="52" t="str">
        <x:v>ш</x:v>
      </x:c>
      <x:c r="F548" s="53" t="n">
        <x:v>1</x:v>
      </x:c>
      <x:c r="G548" s="54" t="n">
        <x:v>504000</x:v>
      </x:c>
      <x:c r="H548" s="54" t="n">
        <x:v>504000</x:v>
      </x:c>
      <x:c r="I548" s="54" t="n">
        <x:f>IF(AND(ISNUMBER(F548),ISNUMBER(G548)),ROUND(F548*G548,0),H548)</x:f>
        <x:v>504000</x:v>
      </x:c>
      <x:c r="J548" s="54" t="n">
        <x:f>I548-H548</x:f>
        <x:v>0</x:v>
      </x:c>
      <x:c r="K548" s="51" t="str">
        <x:v>Материал/тоноглол</x:v>
      </x:c>
      <x:c r="L548" s="51" t="str">
        <x:f>IF(J548=0,"OK","Шалгах")</x:f>
        <x:v>OK</x:v>
      </x:c>
      <x:c r="M548" s="51" t="str">
        <x:v>Узель</x:v>
      </x:c>
      <x:c r="N548" s="51" t="n">
        <x:v>30</x:v>
      </x:c>
    </x:row>
    <x:row r="549">
      <x:c r="A549" s="51" t="str">
        <x:v>MAT-6R-0535</x:v>
      </x:c>
      <x:c r="B549" s="52" t="str">
        <x:v>Дулааны узель</x:v>
      </x:c>
      <x:c r="C549" s="52" t="str">
        <x:v>фланцтай</x:v>
      </x:c>
      <x:c r="D549" s="52" t="str">
        <x:v>Ф100 Хог шүүгч</x:v>
      </x:c>
      <x:c r="E549" s="52" t="str">
        <x:v>ш</x:v>
      </x:c>
      <x:c r="F549" s="53" t="n">
        <x:v>6</x:v>
      </x:c>
      <x:c r="G549" s="54" t="n">
        <x:v>360000</x:v>
      </x:c>
      <x:c r="H549" s="54" t="n">
        <x:v>2160000</x:v>
      </x:c>
      <x:c r="I549" s="54" t="n">
        <x:f>IF(AND(ISNUMBER(F549),ISNUMBER(G549)),ROUND(F549*G549,0),H549)</x:f>
        <x:v>2160000</x:v>
      </x:c>
      <x:c r="J549" s="54" t="n">
        <x:f>I549-H549</x:f>
        <x:v>0</x:v>
      </x:c>
      <x:c r="K549" s="51" t="str">
        <x:v>Материал/тоноглол</x:v>
      </x:c>
      <x:c r="L549" s="51" t="str">
        <x:f>IF(J549=0,"OK","Шалгах")</x:f>
        <x:v>OK</x:v>
      </x:c>
      <x:c r="M549" s="51" t="str">
        <x:v>Узель</x:v>
      </x:c>
      <x:c r="N549" s="51" t="n">
        <x:v>31</x:v>
      </x:c>
    </x:row>
    <x:row r="550">
      <x:c r="A550" s="51" t="str">
        <x:v>MAT-6R-0536</x:v>
      </x:c>
      <x:c r="B550" s="52" t="str">
        <x:v>Дулааны узель</x:v>
      </x:c>
      <x:c r="C550" s="52" t="str">
        <x:v>фланцтай</x:v>
      </x:c>
      <x:c r="D550" s="52" t="str">
        <x:v>Ф89 Хог шүүгч</x:v>
      </x:c>
      <x:c r="E550" s="52" t="str">
        <x:v>ш</x:v>
      </x:c>
      <x:c r="F550" s="53" t="n">
        <x:v>2</x:v>
      </x:c>
      <x:c r="G550" s="54" t="n">
        <x:v>249600</x:v>
      </x:c>
      <x:c r="H550" s="54" t="n">
        <x:v>499200</x:v>
      </x:c>
      <x:c r="I550" s="54" t="n">
        <x:f>IF(AND(ISNUMBER(F550),ISNUMBER(G550)),ROUND(F550*G550,0),H550)</x:f>
        <x:v>499200</x:v>
      </x:c>
      <x:c r="J550" s="54" t="n">
        <x:f>I550-H550</x:f>
        <x:v>0</x:v>
      </x:c>
      <x:c r="K550" s="51" t="str">
        <x:v>Материал/тоноглол</x:v>
      </x:c>
      <x:c r="L550" s="51" t="str">
        <x:f>IF(J550=0,"OK","Шалгах")</x:f>
        <x:v>OK</x:v>
      </x:c>
      <x:c r="M550" s="51" t="str">
        <x:v>Узель</x:v>
      </x:c>
      <x:c r="N550" s="51" t="n">
        <x:v>32</x:v>
      </x:c>
    </x:row>
    <x:row r="551">
      <x:c r="A551" s="51" t="str">
        <x:v>MAT-6R-0537</x:v>
      </x:c>
      <x:c r="B551" s="52" t="str">
        <x:v>Дулааны узель</x:v>
      </x:c>
      <x:c r="C551" s="52" t="str">
        <x:v>фланцтай</x:v>
      </x:c>
      <x:c r="D551" s="52" t="str">
        <x:v>Ф50 Хог шүүгч</x:v>
      </x:c>
      <x:c r="E551" s="52" t="str">
        <x:v>ш</x:v>
      </x:c>
      <x:c r="F551" s="53" t="n">
        <x:v>2</x:v>
      </x:c>
      <x:c r="G551" s="54" t="n">
        <x:v>183600</x:v>
      </x:c>
      <x:c r="H551" s="54" t="n">
        <x:v>367200</x:v>
      </x:c>
      <x:c r="I551" s="54" t="n">
        <x:f>IF(AND(ISNUMBER(F551),ISNUMBER(G551)),ROUND(F551*G551,0),H551)</x:f>
        <x:v>367200</x:v>
      </x:c>
      <x:c r="J551" s="54" t="n">
        <x:f>I551-H551</x:f>
        <x:v>0</x:v>
      </x:c>
      <x:c r="K551" s="51" t="str">
        <x:v>Материал/тоноглол</x:v>
      </x:c>
      <x:c r="L551" s="51" t="str">
        <x:f>IF(J551=0,"OK","Шалгах")</x:f>
        <x:v>OK</x:v>
      </x:c>
      <x:c r="M551" s="51" t="str">
        <x:v>Узель</x:v>
      </x:c>
      <x:c r="N551" s="51" t="n">
        <x:v>33</x:v>
      </x:c>
    </x:row>
    <x:row r="552">
      <x:c r="A552" s="51" t="str">
        <x:v>MAT-6R-0538</x:v>
      </x:c>
      <x:c r="B552" s="52" t="str">
        <x:v>Дулааны узель</x:v>
      </x:c>
      <x:c r="C552" s="52" t="str">
        <x:v>хавчуулдаг</x:v>
      </x:c>
      <x:c r="D552" s="52" t="str">
        <x:v>ф100 үл буцах клапан</x:v>
      </x:c>
      <x:c r="E552" s="52" t="str">
        <x:v>ш</x:v>
      </x:c>
      <x:c r="F552" s="53" t="n">
        <x:v>8</x:v>
      </x:c>
      <x:c r="G552" s="54" t="n">
        <x:v>475200</x:v>
      </x:c>
      <x:c r="H552" s="54" t="n">
        <x:v>3801600</x:v>
      </x:c>
      <x:c r="I552" s="54" t="n">
        <x:f>IF(AND(ISNUMBER(F552),ISNUMBER(G552)),ROUND(F552*G552,0),H552)</x:f>
        <x:v>3801600</x:v>
      </x:c>
      <x:c r="J552" s="54" t="n">
        <x:f>I552-H552</x:f>
        <x:v>0</x:v>
      </x:c>
      <x:c r="K552" s="51" t="str">
        <x:v>Материал/тоноглол</x:v>
      </x:c>
      <x:c r="L552" s="51" t="str">
        <x:f>IF(J552=0,"OK","Шалгах")</x:f>
        <x:v>OK</x:v>
      </x:c>
      <x:c r="M552" s="51" t="str">
        <x:v>Узель</x:v>
      </x:c>
      <x:c r="N552" s="51" t="n">
        <x:v>34</x:v>
      </x:c>
    </x:row>
    <x:row r="553">
      <x:c r="A553" s="51" t="str">
        <x:v>MAT-6R-0539</x:v>
      </x:c>
      <x:c r="B553" s="52" t="str">
        <x:v>Дулааны узель</x:v>
      </x:c>
      <x:c r="C553" s="52" t="str">
        <x:v>фланцтай</x:v>
      </x:c>
      <x:c r="D553" s="52" t="str">
        <x:v>Ф76 Зөөлөн холбоо</x:v>
      </x:c>
      <x:c r="E553" s="52" t="str">
        <x:v>ш</x:v>
      </x:c>
      <x:c r="F553" s="53" t="n">
        <x:v>10</x:v>
      </x:c>
      <x:c r="G553" s="54" t="n">
        <x:v>80000</x:v>
      </x:c>
      <x:c r="H553" s="54" t="n">
        <x:v>800000</x:v>
      </x:c>
      <x:c r="I553" s="54" t="n">
        <x:f>IF(AND(ISNUMBER(F553),ISNUMBER(G553)),ROUND(F553*G553,0),H553)</x:f>
        <x:v>800000</x:v>
      </x:c>
      <x:c r="J553" s="54" t="n">
        <x:f>I553-H553</x:f>
        <x:v>0</x:v>
      </x:c>
      <x:c r="K553" s="51" t="str">
        <x:v>Материал/тоноглол</x:v>
      </x:c>
      <x:c r="L553" s="51" t="str">
        <x:f>IF(J553=0,"OK","Шалгах")</x:f>
        <x:v>OK</x:v>
      </x:c>
      <x:c r="M553" s="51" t="str">
        <x:v>Узель</x:v>
      </x:c>
      <x:c r="N553" s="51" t="n">
        <x:v>35</x:v>
      </x:c>
    </x:row>
    <x:row r="554">
      <x:c r="A554" s="51" t="str">
        <x:v>MAT-6R-0540</x:v>
      </x:c>
      <x:c r="B554" s="52" t="str">
        <x:v>Дулааны узель</x:v>
      </x:c>
      <x:c r="C554" s="52" t="str">
        <x:v>фланцтай</x:v>
      </x:c>
      <x:c r="D554" s="52" t="str">
        <x:v>Ф50 Зөөлөн холбоо</x:v>
      </x:c>
      <x:c r="E554" s="52" t="str">
        <x:v>ш</x:v>
      </x:c>
      <x:c r="F554" s="53" t="n">
        <x:v>10</x:v>
      </x:c>
      <x:c r="G554" s="54" t="n">
        <x:v>60000</x:v>
      </x:c>
      <x:c r="H554" s="54" t="n">
        <x:v>600000</x:v>
      </x:c>
      <x:c r="I554" s="54" t="n">
        <x:f>IF(AND(ISNUMBER(F554),ISNUMBER(G554)),ROUND(F554*G554,0),H554)</x:f>
        <x:v>600000</x:v>
      </x:c>
      <x:c r="J554" s="54" t="n">
        <x:f>I554-H554</x:f>
        <x:v>0</x:v>
      </x:c>
      <x:c r="K554" s="51" t="str">
        <x:v>Материал/тоноглол</x:v>
      </x:c>
      <x:c r="L554" s="51" t="str">
        <x:f>IF(J554=0,"OK","Шалгах")</x:f>
        <x:v>OK</x:v>
      </x:c>
      <x:c r="M554" s="51" t="str">
        <x:v>Узель</x:v>
      </x:c>
      <x:c r="N554" s="51" t="n">
        <x:v>36</x:v>
      </x:c>
    </x:row>
    <x:row r="555">
      <x:c r="A555" s="51" t="str">
        <x:v>MAT-6R-0541</x:v>
      </x:c>
      <x:c r="B555" s="52" t="str">
        <x:v>Дулааны узель</x:v>
      </x:c>
      <x:c r="C555" s="52" t="str">
        <x:v>ф133 фланц</x:v>
      </x:c>
      <x:c r="D555" s="52" t="str"/>
      <x:c r="E555" s="52" t="str">
        <x:v>ш</x:v>
      </x:c>
      <x:c r="F555" s="53" t="n">
        <x:v>2</x:v>
      </x:c>
      <x:c r="G555" s="54" t="n">
        <x:v>65600</x:v>
      </x:c>
      <x:c r="H555" s="54" t="n">
        <x:v>131200</x:v>
      </x:c>
      <x:c r="I555" s="54" t="n">
        <x:f>IF(AND(ISNUMBER(F555),ISNUMBER(G555)),ROUND(F555*G555,0),H555)</x:f>
        <x:v>131200</x:v>
      </x:c>
      <x:c r="J555" s="54" t="n">
        <x:f>I555-H555</x:f>
        <x:v>0</x:v>
      </x:c>
      <x:c r="K555" s="51" t="str">
        <x:v>Материал/тоноглол</x:v>
      </x:c>
      <x:c r="L555" s="51" t="str">
        <x:f>IF(J555=0,"OK","Шалгах")</x:f>
        <x:v>OK</x:v>
      </x:c>
      <x:c r="M555" s="51" t="str">
        <x:v>Узель</x:v>
      </x:c>
      <x:c r="N555" s="51" t="n">
        <x:v>37</x:v>
      </x:c>
    </x:row>
    <x:row r="556">
      <x:c r="A556" s="51" t="str">
        <x:v>MAT-6R-0542</x:v>
      </x:c>
      <x:c r="B556" s="52" t="str">
        <x:v>Дулааны узель</x:v>
      </x:c>
      <x:c r="C556" s="52" t="str">
        <x:v>ф100 фланц</x:v>
      </x:c>
      <x:c r="D556" s="52" t="str"/>
      <x:c r="E556" s="52" t="str">
        <x:v>ш</x:v>
      </x:c>
      <x:c r="F556" s="53" t="n">
        <x:v>40</x:v>
      </x:c>
      <x:c r="G556" s="54" t="n">
        <x:v>51040</x:v>
      </x:c>
      <x:c r="H556" s="54" t="n">
        <x:v>2041600</x:v>
      </x:c>
      <x:c r="I556" s="54" t="n">
        <x:f>IF(AND(ISNUMBER(F556),ISNUMBER(G556)),ROUND(F556*G556,0),H556)</x:f>
        <x:v>2041600</x:v>
      </x:c>
      <x:c r="J556" s="54" t="n">
        <x:f>I556-H556</x:f>
        <x:v>0</x:v>
      </x:c>
      <x:c r="K556" s="51" t="str">
        <x:v>Материал/тоноглол</x:v>
      </x:c>
      <x:c r="L556" s="51" t="str">
        <x:f>IF(J556=0,"OK","Шалгах")</x:f>
        <x:v>OK</x:v>
      </x:c>
      <x:c r="M556" s="51" t="str">
        <x:v>Узель</x:v>
      </x:c>
      <x:c r="N556" s="51" t="n">
        <x:v>38</x:v>
      </x:c>
    </x:row>
    <x:row r="557">
      <x:c r="A557" s="51" t="str">
        <x:v>MAT-6R-0543</x:v>
      </x:c>
      <x:c r="B557" s="52" t="str">
        <x:v>Дулааны узель</x:v>
      </x:c>
      <x:c r="C557" s="52" t="str">
        <x:v>ф76 фланц</x:v>
      </x:c>
      <x:c r="D557" s="52" t="str"/>
      <x:c r="E557" s="52" t="str">
        <x:v>ш</x:v>
      </x:c>
      <x:c r="F557" s="53" t="n">
        <x:v>24</x:v>
      </x:c>
      <x:c r="G557" s="54" t="n">
        <x:v>31040</x:v>
      </x:c>
      <x:c r="H557" s="54" t="n">
        <x:v>744960</x:v>
      </x:c>
      <x:c r="I557" s="54" t="n">
        <x:f>IF(AND(ISNUMBER(F557),ISNUMBER(G557)),ROUND(F557*G557,0),H557)</x:f>
        <x:v>744960</x:v>
      </x:c>
      <x:c r="J557" s="54" t="n">
        <x:f>I557-H557</x:f>
        <x:v>0</x:v>
      </x:c>
      <x:c r="K557" s="51" t="str">
        <x:v>Материал/тоноглол</x:v>
      </x:c>
      <x:c r="L557" s="51" t="str">
        <x:f>IF(J557=0,"OK","Шалгах")</x:f>
        <x:v>OK</x:v>
      </x:c>
      <x:c r="M557" s="51" t="str">
        <x:v>Узель</x:v>
      </x:c>
      <x:c r="N557" s="51" t="n">
        <x:v>39</x:v>
      </x:c>
    </x:row>
    <x:row r="558">
      <x:c r="A558" s="51" t="str">
        <x:v>MAT-6R-0544</x:v>
      </x:c>
      <x:c r="B558" s="52" t="str">
        <x:v>Дулааны узель</x:v>
      </x:c>
      <x:c r="C558" s="52" t="str">
        <x:v>ф50 фланц</x:v>
      </x:c>
      <x:c r="D558" s="52" t="str"/>
      <x:c r="E558" s="52" t="str">
        <x:v>ш</x:v>
      </x:c>
      <x:c r="F558" s="53" t="n">
        <x:v>10</x:v>
      </x:c>
      <x:c r="G558" s="54" t="n">
        <x:v>24960</x:v>
      </x:c>
      <x:c r="H558" s="54" t="n">
        <x:v>249600</x:v>
      </x:c>
      <x:c r="I558" s="54" t="n">
        <x:f>IF(AND(ISNUMBER(F558),ISNUMBER(G558)),ROUND(F558*G558,0),H558)</x:f>
        <x:v>249600</x:v>
      </x:c>
      <x:c r="J558" s="54" t="n">
        <x:f>I558-H558</x:f>
        <x:v>0</x:v>
      </x:c>
      <x:c r="K558" s="51" t="str">
        <x:v>Материал/тоноглол</x:v>
      </x:c>
      <x:c r="L558" s="51" t="str">
        <x:f>IF(J558=0,"OK","Шалгах")</x:f>
        <x:v>OK</x:v>
      </x:c>
      <x:c r="M558" s="51" t="str">
        <x:v>Узель</x:v>
      </x:c>
      <x:c r="N558" s="51" t="n">
        <x:v>40</x:v>
      </x:c>
    </x:row>
    <x:row r="559">
      <x:c r="A559" s="51" t="str">
        <x:v>MAT-6R-0545</x:v>
      </x:c>
      <x:c r="B559" s="52" t="str">
        <x:v>Дулааны узель</x:v>
      </x:c>
      <x:c r="C559" s="52" t="str">
        <x:v>төмөр</x:v>
      </x:c>
      <x:c r="D559" s="52" t="str">
        <x:v>ф133 Паронит</x:v>
      </x:c>
      <x:c r="E559" s="52" t="str">
        <x:v>ш</x:v>
      </x:c>
      <x:c r="F559" s="53" t="n">
        <x:v>2</x:v>
      </x:c>
      <x:c r="G559" s="54" t="n">
        <x:v>2500</x:v>
      </x:c>
      <x:c r="H559" s="54" t="n">
        <x:v>5000</x:v>
      </x:c>
      <x:c r="I559" s="54" t="n">
        <x:f>IF(AND(ISNUMBER(F559),ISNUMBER(G559)),ROUND(F559*G559,0),H559)</x:f>
        <x:v>5000</x:v>
      </x:c>
      <x:c r="J559" s="54" t="n">
        <x:f>I559-H559</x:f>
        <x:v>0</x:v>
      </x:c>
      <x:c r="K559" s="51" t="str">
        <x:v>Материал/тоноглол</x:v>
      </x:c>
      <x:c r="L559" s="51" t="str">
        <x:f>IF(J559=0,"OK","Шалгах")</x:f>
        <x:v>OK</x:v>
      </x:c>
      <x:c r="M559" s="51" t="str">
        <x:v>Узель</x:v>
      </x:c>
      <x:c r="N559" s="51" t="n">
        <x:v>41</x:v>
      </x:c>
    </x:row>
    <x:row r="560">
      <x:c r="A560" s="51" t="str">
        <x:v>MAT-6R-0546</x:v>
      </x:c>
      <x:c r="B560" s="52" t="str">
        <x:v>Дулааны узель</x:v>
      </x:c>
      <x:c r="C560" s="52" t="str">
        <x:v>төмөр</x:v>
      </x:c>
      <x:c r="D560" s="52" t="str">
        <x:v>ф100 Паронит</x:v>
      </x:c>
      <x:c r="E560" s="52" t="str">
        <x:v>ш</x:v>
      </x:c>
      <x:c r="F560" s="53" t="n">
        <x:v>30</x:v>
      </x:c>
      <x:c r="G560" s="54" t="n">
        <x:v>2200</x:v>
      </x:c>
      <x:c r="H560" s="54" t="n">
        <x:v>66000</x:v>
      </x:c>
      <x:c r="I560" s="54" t="n">
        <x:f>IF(AND(ISNUMBER(F560),ISNUMBER(G560)),ROUND(F560*G560,0),H560)</x:f>
        <x:v>66000</x:v>
      </x:c>
      <x:c r="J560" s="54" t="n">
        <x:f>I560-H560</x:f>
        <x:v>0</x:v>
      </x:c>
      <x:c r="K560" s="51" t="str">
        <x:v>Материал/тоноглол</x:v>
      </x:c>
      <x:c r="L560" s="51" t="str">
        <x:f>IF(J560=0,"OK","Шалгах")</x:f>
        <x:v>OK</x:v>
      </x:c>
      <x:c r="M560" s="51" t="str">
        <x:v>Узель</x:v>
      </x:c>
      <x:c r="N560" s="51" t="n">
        <x:v>42</x:v>
      </x:c>
    </x:row>
    <x:row r="561">
      <x:c r="A561" s="51" t="str">
        <x:v>MAT-6R-0547</x:v>
      </x:c>
      <x:c r="B561" s="52" t="str">
        <x:v>Дулааны узель</x:v>
      </x:c>
      <x:c r="C561" s="52" t="str">
        <x:v>төмөр</x:v>
      </x:c>
      <x:c r="D561" s="52" t="str">
        <x:v>ф76 Паронит</x:v>
      </x:c>
      <x:c r="E561" s="52" t="str">
        <x:v>ш</x:v>
      </x:c>
      <x:c r="F561" s="53" t="n">
        <x:v>18</x:v>
      </x:c>
      <x:c r="G561" s="54" t="n">
        <x:v>1800</x:v>
      </x:c>
      <x:c r="H561" s="54" t="n">
        <x:v>32400</x:v>
      </x:c>
      <x:c r="I561" s="54" t="n">
        <x:f>IF(AND(ISNUMBER(F561),ISNUMBER(G561)),ROUND(F561*G561,0),H561)</x:f>
        <x:v>32400</x:v>
      </x:c>
      <x:c r="J561" s="54" t="n">
        <x:f>I561-H561</x:f>
        <x:v>0</x:v>
      </x:c>
      <x:c r="K561" s="51" t="str">
        <x:v>Материал/тоноглол</x:v>
      </x:c>
      <x:c r="L561" s="51" t="str">
        <x:f>IF(J561=0,"OK","Шалгах")</x:f>
        <x:v>OK</x:v>
      </x:c>
      <x:c r="M561" s="51" t="str">
        <x:v>Узель</x:v>
      </x:c>
      <x:c r="N561" s="51" t="n">
        <x:v>43</x:v>
      </x:c>
    </x:row>
    <x:row r="562">
      <x:c r="A562" s="51" t="str">
        <x:v>MAT-6R-0548</x:v>
      </x:c>
      <x:c r="B562" s="52" t="str">
        <x:v>Дулааны узель</x:v>
      </x:c>
      <x:c r="C562" s="52" t="str">
        <x:v>төмөр</x:v>
      </x:c>
      <x:c r="D562" s="52" t="str">
        <x:v>ф50 Паронит</x:v>
      </x:c>
      <x:c r="E562" s="52" t="str">
        <x:v>ш</x:v>
      </x:c>
      <x:c r="F562" s="53" t="n">
        <x:v>14</x:v>
      </x:c>
      <x:c r="G562" s="54" t="n">
        <x:v>1600</x:v>
      </x:c>
      <x:c r="H562" s="54" t="n">
        <x:v>22400</x:v>
      </x:c>
      <x:c r="I562" s="54" t="n">
        <x:f>IF(AND(ISNUMBER(F562),ISNUMBER(G562)),ROUND(F562*G562,0),H562)</x:f>
        <x:v>22400</x:v>
      </x:c>
      <x:c r="J562" s="54" t="n">
        <x:f>I562-H562</x:f>
        <x:v>0</x:v>
      </x:c>
      <x:c r="K562" s="51" t="str">
        <x:v>Материал/тоноглол</x:v>
      </x:c>
      <x:c r="L562" s="51" t="str">
        <x:f>IF(J562=0,"OK","Шалгах")</x:f>
        <x:v>OK</x:v>
      </x:c>
      <x:c r="M562" s="51" t="str">
        <x:v>Узель</x:v>
      </x:c>
      <x:c r="N562" s="51" t="n">
        <x:v>44</x:v>
      </x:c>
    </x:row>
    <x:row r="563">
      <x:c r="A563" s="51" t="str">
        <x:v>MAT-6R-0549</x:v>
      </x:c>
      <x:c r="B563" s="52" t="str">
        <x:v>Дулааны узель</x:v>
      </x:c>
      <x:c r="C563" s="52" t="str">
        <x:v>ком</x:v>
      </x:c>
      <x:c r="D563" s="52" t="str">
        <x:v>м18 гайк,боолт</x:v>
      </x:c>
      <x:c r="E563" s="52" t="str">
        <x:v>ш</x:v>
      </x:c>
      <x:c r="F563" s="53" t="n">
        <x:v>200</x:v>
      </x:c>
      <x:c r="G563" s="54" t="n">
        <x:v>100</x:v>
      </x:c>
      <x:c r="H563" s="54" t="n">
        <x:v>20000</x:v>
      </x:c>
      <x:c r="I563" s="54" t="n">
        <x:f>IF(AND(ISNUMBER(F563),ISNUMBER(G563)),ROUND(F563*G563,0),H563)</x:f>
        <x:v>20000</x:v>
      </x:c>
      <x:c r="J563" s="54" t="n">
        <x:f>I563-H563</x:f>
        <x:v>0</x:v>
      </x:c>
      <x:c r="K563" s="51" t="str">
        <x:v>Материал/тоноглол</x:v>
      </x:c>
      <x:c r="L563" s="51" t="str">
        <x:f>IF(J563=0,"OK","Шалгах")</x:f>
        <x:v>OK</x:v>
      </x:c>
      <x:c r="M563" s="51" t="str">
        <x:v>Узель</x:v>
      </x:c>
      <x:c r="N563" s="51" t="n">
        <x:v>45</x:v>
      </x:c>
    </x:row>
    <x:row r="564">
      <x:c r="A564" s="51" t="str">
        <x:v>MAT-6R-0550</x:v>
      </x:c>
      <x:c r="B564" s="52" t="str">
        <x:v>Дулааны узель</x:v>
      </x:c>
      <x:c r="C564" s="52" t="str">
        <x:v>133*100 ган</x:v>
      </x:c>
      <x:c r="D564" s="52" t="str">
        <x:v>Переход</x:v>
      </x:c>
      <x:c r="E564" s="52" t="str">
        <x:v>ш</x:v>
      </x:c>
      <x:c r="F564" s="53" t="n">
        <x:v>2</x:v>
      </x:c>
      <x:c r="G564" s="54" t="n">
        <x:v>20800</x:v>
      </x:c>
      <x:c r="H564" s="54" t="n">
        <x:v>41600</x:v>
      </x:c>
      <x:c r="I564" s="54" t="n">
        <x:f>IF(AND(ISNUMBER(F564),ISNUMBER(G564)),ROUND(F564*G564,0),H564)</x:f>
        <x:v>41600</x:v>
      </x:c>
      <x:c r="J564" s="54" t="n">
        <x:f>I564-H564</x:f>
        <x:v>0</x:v>
      </x:c>
      <x:c r="K564" s="51" t="str">
        <x:v>Материал/тоноглол</x:v>
      </x:c>
      <x:c r="L564" s="51" t="str">
        <x:f>IF(J564=0,"OK","Шалгах")</x:f>
        <x:v>OK</x:v>
      </x:c>
      <x:c r="M564" s="51" t="str">
        <x:v>Узель</x:v>
      </x:c>
      <x:c r="N564" s="51" t="n">
        <x:v>46</x:v>
      </x:c>
    </x:row>
    <x:row r="565">
      <x:c r="A565" s="51" t="str">
        <x:v>MAT-6R-0551</x:v>
      </x:c>
      <x:c r="B565" s="52" t="str">
        <x:v>Дулааны узель</x:v>
      </x:c>
      <x:c r="C565" s="52" t="str">
        <x:v>100*76 ган</x:v>
      </x:c>
      <x:c r="D565" s="52" t="str">
        <x:v>Переход</x:v>
      </x:c>
      <x:c r="E565" s="52" t="str">
        <x:v>ш</x:v>
      </x:c>
      <x:c r="F565" s="53" t="n">
        <x:v>18</x:v>
      </x:c>
      <x:c r="G565" s="54" t="n">
        <x:v>24180</x:v>
      </x:c>
      <x:c r="H565" s="54" t="n">
        <x:v>435240</x:v>
      </x:c>
      <x:c r="I565" s="54" t="n">
        <x:f>IF(AND(ISNUMBER(F565),ISNUMBER(G565)),ROUND(F565*G565,0),H565)</x:f>
        <x:v>435240</x:v>
      </x:c>
      <x:c r="J565" s="54" t="n">
        <x:f>I565-H565</x:f>
        <x:v>0</x:v>
      </x:c>
      <x:c r="K565" s="51" t="str">
        <x:v>Материал/тоноглол</x:v>
      </x:c>
      <x:c r="L565" s="51" t="str">
        <x:f>IF(J565=0,"OK","Шалгах")</x:f>
        <x:v>OK</x:v>
      </x:c>
      <x:c r="M565" s="51" t="str">
        <x:v>Узель</x:v>
      </x:c>
      <x:c r="N565" s="51" t="n">
        <x:v>47</x:v>
      </x:c>
    </x:row>
    <x:row r="566">
      <x:c r="A566" s="51" t="str">
        <x:v>MAT-6R-0552</x:v>
      </x:c>
      <x:c r="B566" s="52" t="str">
        <x:v>Дулааны узель</x:v>
      </x:c>
      <x:c r="C566" s="52" t="str">
        <x:v>100*76</x:v>
      </x:c>
      <x:c r="D566" s="52" t="str">
        <x:v>Переход</x:v>
      </x:c>
      <x:c r="E566" s="52" t="str">
        <x:v>ш</x:v>
      </x:c>
      <x:c r="F566" s="53" t="n">
        <x:v>4</x:v>
      </x:c>
      <x:c r="G566" s="54" t="n">
        <x:v>24180</x:v>
      </x:c>
      <x:c r="H566" s="54" t="n">
        <x:v>96720</x:v>
      </x:c>
      <x:c r="I566" s="54" t="n">
        <x:f>IF(AND(ISNUMBER(F566),ISNUMBER(G566)),ROUND(F566*G566,0),H566)</x:f>
        <x:v>96720</x:v>
      </x:c>
      <x:c r="J566" s="54" t="n">
        <x:f>I566-H566</x:f>
        <x:v>0</x:v>
      </x:c>
      <x:c r="K566" s="51" t="str">
        <x:v>Материал/тоноглол</x:v>
      </x:c>
      <x:c r="L566" s="51" t="str">
        <x:f>IF(J566=0,"OK","Шалгах")</x:f>
        <x:v>OK</x:v>
      </x:c>
      <x:c r="M566" s="51" t="str">
        <x:v>Узель</x:v>
      </x:c>
      <x:c r="N566" s="51" t="n">
        <x:v>48</x:v>
      </x:c>
    </x:row>
    <x:row r="567">
      <x:c r="A567" s="51" t="str">
        <x:v>MAT-6R-0553</x:v>
      </x:c>
      <x:c r="B567" s="52" t="str">
        <x:v>Дулааны узель</x:v>
      </x:c>
      <x:c r="C567" s="52" t="str">
        <x:v>100*50 ган</x:v>
      </x:c>
      <x:c r="D567" s="52" t="str">
        <x:v>Переход</x:v>
      </x:c>
      <x:c r="E567" s="52" t="str">
        <x:v>ш</x:v>
      </x:c>
      <x:c r="F567" s="53" t="n">
        <x:v>20</x:v>
      </x:c>
      <x:c r="G567" s="54" t="n">
        <x:v>26000</x:v>
      </x:c>
      <x:c r="H567" s="54" t="n">
        <x:v>520000</x:v>
      </x:c>
      <x:c r="I567" s="54" t="n">
        <x:f>IF(AND(ISNUMBER(F567),ISNUMBER(G567)),ROUND(F567*G567,0),H567)</x:f>
        <x:v>520000</x:v>
      </x:c>
      <x:c r="J567" s="54" t="n">
        <x:f>I567-H567</x:f>
        <x:v>0</x:v>
      </x:c>
      <x:c r="K567" s="51" t="str">
        <x:v>Материал/тоноглол</x:v>
      </x:c>
      <x:c r="L567" s="51" t="str">
        <x:f>IF(J567=0,"OK","Шалгах")</x:f>
        <x:v>OK</x:v>
      </x:c>
      <x:c r="M567" s="51" t="str">
        <x:v>Узель</x:v>
      </x:c>
      <x:c r="N567" s="51" t="n">
        <x:v>49</x:v>
      </x:c>
    </x:row>
    <x:row r="568">
      <x:c r="A568" s="51" t="str">
        <x:v>MAT-6R-0554</x:v>
      </x:c>
      <x:c r="B568" s="52" t="str">
        <x:v>Дулааны узель</x:v>
      </x:c>
      <x:c r="C568" s="52" t="str">
        <x:v>100*100 ган</x:v>
      </x:c>
      <x:c r="D568" s="52" t="str">
        <x:v>тройник</x:v>
      </x:c>
      <x:c r="E568" s="52" t="str">
        <x:v>ш</x:v>
      </x:c>
      <x:c r="F568" s="53" t="n">
        <x:v>6</x:v>
      </x:c>
      <x:c r="G568" s="54" t="n">
        <x:v>56896</x:v>
      </x:c>
      <x:c r="H568" s="54" t="n">
        <x:v>341376</x:v>
      </x:c>
      <x:c r="I568" s="54" t="n">
        <x:f>IF(AND(ISNUMBER(F568),ISNUMBER(G568)),ROUND(F568*G568,0),H568)</x:f>
        <x:v>341376</x:v>
      </x:c>
      <x:c r="J568" s="54" t="n">
        <x:f>I568-H568</x:f>
        <x:v>0</x:v>
      </x:c>
      <x:c r="K568" s="51" t="str">
        <x:v>Материал/тоноглол</x:v>
      </x:c>
      <x:c r="L568" s="51" t="str">
        <x:f>IF(J568=0,"OK","Шалгах")</x:f>
        <x:v>OK</x:v>
      </x:c>
      <x:c r="M568" s="51" t="str">
        <x:v>Узель</x:v>
      </x:c>
      <x:c r="N568" s="51" t="n">
        <x:v>50</x:v>
      </x:c>
    </x:row>
    <x:row r="569">
      <x:c r="A569" s="51" t="str">
        <x:v>MAT-6R-0555</x:v>
      </x:c>
      <x:c r="B569" s="52" t="str">
        <x:v>Дулааны узель</x:v>
      </x:c>
      <x:c r="C569" s="52" t="str">
        <x:v>89*89 цайран</x:v>
      </x:c>
      <x:c r="D569" s="52" t="str">
        <x:v>тройник</x:v>
      </x:c>
      <x:c r="E569" s="52" t="str">
        <x:v>ш</x:v>
      </x:c>
      <x:c r="F569" s="53" t="n">
        <x:v>4</x:v>
      </x:c>
      <x:c r="G569" s="54" t="n">
        <x:v>33536</x:v>
      </x:c>
      <x:c r="H569" s="54" t="n">
        <x:v>134144</x:v>
      </x:c>
      <x:c r="I569" s="54" t="n">
        <x:f>IF(AND(ISNUMBER(F569),ISNUMBER(G569)),ROUND(F569*G569,0),H569)</x:f>
        <x:v>134144</x:v>
      </x:c>
      <x:c r="J569" s="54" t="n">
        <x:f>I569-H569</x:f>
        <x:v>0</x:v>
      </x:c>
      <x:c r="K569" s="51" t="str">
        <x:v>Материал/тоноглол</x:v>
      </x:c>
      <x:c r="L569" s="51" t="str">
        <x:f>IF(J569=0,"OK","Шалгах")</x:f>
        <x:v>OK</x:v>
      </x:c>
      <x:c r="M569" s="51" t="str">
        <x:v>Узель</x:v>
      </x:c>
      <x:c r="N569" s="51" t="n">
        <x:v>51</x:v>
      </x:c>
    </x:row>
    <x:row r="570">
      <x:c r="A570" s="51" t="str">
        <x:v>MAT-6R-0556</x:v>
      </x:c>
      <x:c r="B570" s="52" t="str">
        <x:v>Дулааны узель</x:v>
      </x:c>
      <x:c r="C570" s="52" t="str">
        <x:v>133*100 цайран</x:v>
      </x:c>
      <x:c r="D570" s="52" t="str">
        <x:v>тройник</x:v>
      </x:c>
      <x:c r="E570" s="52" t="str">
        <x:v>ш</x:v>
      </x:c>
      <x:c r="F570" s="53" t="n">
        <x:v>4</x:v>
      </x:c>
      <x:c r="G570" s="54" t="n">
        <x:v>85264</x:v>
      </x:c>
      <x:c r="H570" s="54" t="n">
        <x:v>341056</x:v>
      </x:c>
      <x:c r="I570" s="54" t="n">
        <x:f>IF(AND(ISNUMBER(F570),ISNUMBER(G570)),ROUND(F570*G570,0),H570)</x:f>
        <x:v>341056</x:v>
      </x:c>
      <x:c r="J570" s="54" t="n">
        <x:f>I570-H570</x:f>
        <x:v>0</x:v>
      </x:c>
      <x:c r="K570" s="51" t="str">
        <x:v>Материал/тоноглол</x:v>
      </x:c>
      <x:c r="L570" s="51" t="str">
        <x:f>IF(J570=0,"OK","Шалгах")</x:f>
        <x:v>OK</x:v>
      </x:c>
      <x:c r="M570" s="51" t="str">
        <x:v>Узель</x:v>
      </x:c>
      <x:c r="N570" s="51" t="n">
        <x:v>52</x:v>
      </x:c>
    </x:row>
    <x:row r="571">
      <x:c r="A571" s="51" t="str">
        <x:v>MAT-6R-0557</x:v>
      </x:c>
      <x:c r="B571" s="52" t="str">
        <x:v>Дулааны узель</x:v>
      </x:c>
      <x:c r="C571" s="52" t="str">
        <x:v>ф 100 ган</x:v>
      </x:c>
      <x:c r="D571" s="52" t="str">
        <x:v>булан</x:v>
      </x:c>
      <x:c r="E571" s="52" t="str">
        <x:v>ш</x:v>
      </x:c>
      <x:c r="F571" s="53" t="n">
        <x:v>50</x:v>
      </x:c>
      <x:c r="G571" s="54" t="n">
        <x:v>31260</x:v>
      </x:c>
      <x:c r="H571" s="54" t="n">
        <x:v>1563000</x:v>
      </x:c>
      <x:c r="I571" s="54" t="n">
        <x:f>IF(AND(ISNUMBER(F571),ISNUMBER(G571)),ROUND(F571*G571,0),H571)</x:f>
        <x:v>1563000</x:v>
      </x:c>
      <x:c r="J571" s="54" t="n">
        <x:f>I571-H571</x:f>
        <x:v>0</x:v>
      </x:c>
      <x:c r="K571" s="51" t="str">
        <x:v>Материал/тоноглол</x:v>
      </x:c>
      <x:c r="L571" s="51" t="str">
        <x:f>IF(J571=0,"OK","Шалгах")</x:f>
        <x:v>OK</x:v>
      </x:c>
      <x:c r="M571" s="51" t="str">
        <x:v>Узель</x:v>
      </x:c>
      <x:c r="N571" s="51" t="n">
        <x:v>53</x:v>
      </x:c>
    </x:row>
    <x:row r="572">
      <x:c r="A572" s="51" t="str">
        <x:v>MAT-6R-0558</x:v>
      </x:c>
      <x:c r="B572" s="52" t="str">
        <x:v>Дулааны узель</x:v>
      </x:c>
      <x:c r="C572" s="52" t="str">
        <x:v>ф 32 ган</x:v>
      </x:c>
      <x:c r="D572" s="52" t="str">
        <x:v>булан</x:v>
      </x:c>
      <x:c r="E572" s="52" t="str">
        <x:v>ш</x:v>
      </x:c>
      <x:c r="F572" s="53" t="n">
        <x:v>20</x:v>
      </x:c>
      <x:c r="G572" s="54" t="n">
        <x:v>5000</x:v>
      </x:c>
      <x:c r="H572" s="54" t="n">
        <x:v>100000</x:v>
      </x:c>
      <x:c r="I572" s="54" t="n">
        <x:f>IF(AND(ISNUMBER(F572),ISNUMBER(G572)),ROUND(F572*G572,0),H572)</x:f>
        <x:v>100000</x:v>
      </x:c>
      <x:c r="J572" s="54" t="n">
        <x:f>I572-H572</x:f>
        <x:v>0</x:v>
      </x:c>
      <x:c r="K572" s="51" t="str">
        <x:v>Материал/тоноглол</x:v>
      </x:c>
      <x:c r="L572" s="51" t="str">
        <x:f>IF(J572=0,"OK","Шалгах")</x:f>
        <x:v>OK</x:v>
      </x:c>
      <x:c r="M572" s="51" t="str">
        <x:v>Узель</x:v>
      </x:c>
      <x:c r="N572" s="51" t="n">
        <x:v>54</x:v>
      </x:c>
    </x:row>
    <x:row r="573">
      <x:c r="A573" s="51" t="str">
        <x:v>MAT-6R-0559</x:v>
      </x:c>
      <x:c r="B573" s="52" t="str">
        <x:v>Дулааны узель</x:v>
      </x:c>
      <x:c r="C573" s="52" t="str">
        <x:v>ф 100 ган 4.0</x:v>
      </x:c>
      <x:c r="D573" s="52" t="str">
        <x:v>труба</x:v>
      </x:c>
      <x:c r="E573" s="52" t="str">
        <x:v>у/м</x:v>
      </x:c>
      <x:c r="F573" s="53" t="n">
        <x:v>36</x:v>
      </x:c>
      <x:c r="G573" s="54" t="n">
        <x:v>110943</x:v>
      </x:c>
      <x:c r="H573" s="54" t="n">
        <x:v>3993948</x:v>
      </x:c>
      <x:c r="I573" s="54" t="n">
        <x:f>IF(AND(ISNUMBER(F573),ISNUMBER(G573)),ROUND(F573*G573,0),H573)</x:f>
        <x:v>3993948</x:v>
      </x:c>
      <x:c r="J573" s="54" t="n">
        <x:f>I573-H573</x:f>
        <x:v>0</x:v>
      </x:c>
      <x:c r="K573" s="51" t="str">
        <x:v>Материал/тоноглол</x:v>
      </x:c>
      <x:c r="L573" s="51" t="str">
        <x:f>IF(J573=0,"OK","Шалгах")</x:f>
        <x:v>OK</x:v>
      </x:c>
      <x:c r="M573" s="51" t="str">
        <x:v>Узель</x:v>
      </x:c>
      <x:c r="N573" s="51" t="n">
        <x:v>55</x:v>
      </x:c>
    </x:row>
    <x:row r="574">
      <x:c r="A574" s="51" t="str">
        <x:v>MAT-6R-0560</x:v>
      </x:c>
      <x:c r="B574" s="52" t="str">
        <x:v>Дулааны узель</x:v>
      </x:c>
      <x:c r="C574" s="52" t="str">
        <x:v>ф 219 ган 4.0</x:v>
      </x:c>
      <x:c r="D574" s="52" t="str">
        <x:v>труба</x:v>
      </x:c>
      <x:c r="E574" s="52" t="str">
        <x:v>у/м</x:v>
      </x:c>
      <x:c r="F574" s="53" t="n">
        <x:v>8</x:v>
      </x:c>
      <x:c r="G574" s="54" t="n">
        <x:v>291500</x:v>
      </x:c>
      <x:c r="H574" s="54" t="n">
        <x:v>2332000</x:v>
      </x:c>
      <x:c r="I574" s="54" t="n">
        <x:f>IF(AND(ISNUMBER(F574),ISNUMBER(G574)),ROUND(F574*G574,0),H574)</x:f>
        <x:v>2332000</x:v>
      </x:c>
      <x:c r="J574" s="54" t="n">
        <x:f>I574-H574</x:f>
        <x:v>0</x:v>
      </x:c>
      <x:c r="K574" s="51" t="str">
        <x:v>Материал/тоноглол</x:v>
      </x:c>
      <x:c r="L574" s="51" t="str">
        <x:f>IF(J574=0,"OK","Шалгах")</x:f>
        <x:v>OK</x:v>
      </x:c>
      <x:c r="M574" s="51" t="str">
        <x:v>Узель</x:v>
      </x:c>
      <x:c r="N574" s="51" t="n">
        <x:v>56</x:v>
      </x:c>
    </x:row>
    <x:row r="575">
      <x:c r="A575" s="51" t="str">
        <x:v>MAT-6R-0561</x:v>
      </x:c>
      <x:c r="B575" s="52" t="str">
        <x:v>Дулааны узель</x:v>
      </x:c>
      <x:c r="C575" s="52" t="str">
        <x:v>Ф32 Ган 3.5</x:v>
      </x:c>
      <x:c r="D575" s="52" t="str">
        <x:v>труба</x:v>
      </x:c>
      <x:c r="E575" s="52" t="str">
        <x:v>у/м</x:v>
      </x:c>
      <x:c r="F575" s="53" t="n">
        <x:v>30</x:v>
      </x:c>
      <x:c r="G575" s="54" t="n">
        <x:v>17000</x:v>
      </x:c>
      <x:c r="H575" s="54" t="n">
        <x:v>510000</x:v>
      </x:c>
      <x:c r="I575" s="54" t="n">
        <x:f>IF(AND(ISNUMBER(F575),ISNUMBER(G575)),ROUND(F575*G575,0),H575)</x:f>
        <x:v>510000</x:v>
      </x:c>
      <x:c r="J575" s="54" t="n">
        <x:f>I575-H575</x:f>
        <x:v>0</x:v>
      </x:c>
      <x:c r="K575" s="51" t="str">
        <x:v>Материал/тоноглол</x:v>
      </x:c>
      <x:c r="L575" s="51" t="str">
        <x:f>IF(J575=0,"OK","Шалгах")</x:f>
        <x:v>OK</x:v>
      </x:c>
      <x:c r="M575" s="51" t="str">
        <x:v>Узель</x:v>
      </x:c>
      <x:c r="N575" s="51" t="n">
        <x:v>57</x:v>
      </x:c>
    </x:row>
    <x:row r="576">
      <x:c r="A576" s="51" t="str">
        <x:v>MAT-6R-0562</x:v>
      </x:c>
      <x:c r="B576" s="52" t="str">
        <x:v>Дулааны узель</x:v>
      </x:c>
      <x:c r="C576" s="52" t="str">
        <x:v>ф133 цайран</x:v>
      </x:c>
      <x:c r="D576" s="52" t="str">
        <x:v>труба</x:v>
      </x:c>
      <x:c r="E576" s="52" t="str">
        <x:v>у/м</x:v>
      </x:c>
      <x:c r="F576" s="53" t="n">
        <x:v>4</x:v>
      </x:c>
      <x:c r="G576" s="54" t="n">
        <x:v>110950</x:v>
      </x:c>
      <x:c r="H576" s="54" t="n">
        <x:v>443800</x:v>
      </x:c>
      <x:c r="I576" s="54" t="n">
        <x:f>IF(AND(ISNUMBER(F576),ISNUMBER(G576)),ROUND(F576*G576,0),H576)</x:f>
        <x:v>443800</x:v>
      </x:c>
      <x:c r="J576" s="54" t="n">
        <x:f>I576-H576</x:f>
        <x:v>0</x:v>
      </x:c>
      <x:c r="K576" s="51" t="str">
        <x:v>Материал/тоноглол</x:v>
      </x:c>
      <x:c r="L576" s="51" t="str">
        <x:f>IF(J576=0,"OK","Шалгах")</x:f>
        <x:v>OK</x:v>
      </x:c>
      <x:c r="M576" s="51" t="str">
        <x:v>Узель</x:v>
      </x:c>
      <x:c r="N576" s="51" t="n">
        <x:v>58</x:v>
      </x:c>
    </x:row>
    <x:row r="577">
      <x:c r="A577" s="51" t="str">
        <x:v>MAT-6R-0563</x:v>
      </x:c>
      <x:c r="B577" s="52" t="str">
        <x:v>Дулааны узель</x:v>
      </x:c>
      <x:c r="C577" s="52" t="str">
        <x:v>ф100 цайран</x:v>
      </x:c>
      <x:c r="D577" s="52" t="str">
        <x:v>труба</x:v>
      </x:c>
      <x:c r="E577" s="52" t="str">
        <x:v>у/м</x:v>
      </x:c>
      <x:c r="F577" s="53" t="n">
        <x:v>12</x:v>
      </x:c>
      <x:c r="G577" s="54" t="n">
        <x:v>91500</x:v>
      </x:c>
      <x:c r="H577" s="54" t="n">
        <x:v>1098000</x:v>
      </x:c>
      <x:c r="I577" s="54" t="n">
        <x:f>IF(AND(ISNUMBER(F577),ISNUMBER(G577)),ROUND(F577*G577,0),H577)</x:f>
        <x:v>1098000</x:v>
      </x:c>
      <x:c r="J577" s="54" t="n">
        <x:f>I577-H577</x:f>
        <x:v>0</x:v>
      </x:c>
      <x:c r="K577" s="51" t="str">
        <x:v>Материал/тоноглол</x:v>
      </x:c>
      <x:c r="L577" s="51" t="str">
        <x:f>IF(J577=0,"OK","Шалгах")</x:f>
        <x:v>OK</x:v>
      </x:c>
      <x:c r="M577" s="51" t="str">
        <x:v>Узель</x:v>
      </x:c>
      <x:c r="N577" s="51" t="n">
        <x:v>59</x:v>
      </x:c>
    </x:row>
    <x:row r="578">
      <x:c r="A578" s="51" t="str">
        <x:v>MAT-6R-0564</x:v>
      </x:c>
      <x:c r="B578" s="52" t="str">
        <x:v>Дулааны узель</x:v>
      </x:c>
      <x:c r="C578" s="52" t="str">
        <x:v>ф133 цайран</x:v>
      </x:c>
      <x:c r="D578" s="52" t="str">
        <x:v>заглужка</x:v>
      </x:c>
      <x:c r="E578" s="52" t="str">
        <x:v>ш</x:v>
      </x:c>
      <x:c r="F578" s="53" t="n">
        <x:v>4</x:v>
      </x:c>
      <x:c r="G578" s="54" t="n">
        <x:v>27000</x:v>
      </x:c>
      <x:c r="H578" s="54" t="n">
        <x:v>108000</x:v>
      </x:c>
      <x:c r="I578" s="54" t="n">
        <x:f>IF(AND(ISNUMBER(F578),ISNUMBER(G578)),ROUND(F578*G578,0),H578)</x:f>
        <x:v>108000</x:v>
      </x:c>
      <x:c r="J578" s="54" t="n">
        <x:f>I578-H578</x:f>
        <x:v>0</x:v>
      </x:c>
      <x:c r="K578" s="51" t="str">
        <x:v>Материал/тоноглол</x:v>
      </x:c>
      <x:c r="L578" s="51" t="str">
        <x:f>IF(J578=0,"OK","Шалгах")</x:f>
        <x:v>OK</x:v>
      </x:c>
      <x:c r="M578" s="51" t="str">
        <x:v>Узель</x:v>
      </x:c>
      <x:c r="N578" s="51" t="n">
        <x:v>60</x:v>
      </x:c>
    </x:row>
    <x:row r="579">
      <x:c r="A579" s="51" t="str">
        <x:v>MAT-6R-0565</x:v>
      </x:c>
      <x:c r="B579" s="52" t="str">
        <x:v>Дулааны узель</x:v>
      </x:c>
      <x:c r="C579" s="52" t="str">
        <x:v>ф219 ган</x:v>
      </x:c>
      <x:c r="D579" s="52" t="str">
        <x:v>заглужка</x:v>
      </x:c>
      <x:c r="E579" s="52" t="str">
        <x:v>ш</x:v>
      </x:c>
      <x:c r="F579" s="53" t="n">
        <x:v>4</x:v>
      </x:c>
      <x:c r="G579" s="54" t="n">
        <x:v>61000</x:v>
      </x:c>
      <x:c r="H579" s="54" t="n">
        <x:v>244000</x:v>
      </x:c>
      <x:c r="I579" s="54" t="n">
        <x:f>IF(AND(ISNUMBER(F579),ISNUMBER(G579)),ROUND(F579*G579,0),H579)</x:f>
        <x:v>244000</x:v>
      </x:c>
      <x:c r="J579" s="54" t="n">
        <x:f>I579-H579</x:f>
        <x:v>0</x:v>
      </x:c>
      <x:c r="K579" s="51" t="str">
        <x:v>Материал/тоноглол</x:v>
      </x:c>
      <x:c r="L579" s="51" t="str">
        <x:f>IF(J579=0,"OK","Шалгах")</x:f>
        <x:v>OK</x:v>
      </x:c>
      <x:c r="M579" s="51" t="str">
        <x:v>Узель</x:v>
      </x:c>
      <x:c r="N579" s="51" t="n">
        <x:v>61</x:v>
      </x:c>
    </x:row>
    <x:row r="580">
      <x:c r="A580" s="51" t="str">
        <x:v>MAT-6R-0566</x:v>
      </x:c>
      <x:c r="B580" s="52" t="str">
        <x:v>Дулааны узель</x:v>
      </x:c>
      <x:c r="C580" s="52" t="str">
        <x:v>ECL-210 Удирдлагын самбар</x:v>
      </x:c>
      <x:c r="D580" s="52" t="str"/>
      <x:c r="E580" s="52" t="str">
        <x:v>ш</x:v>
      </x:c>
      <x:c r="F580" s="53" t="n">
        <x:v>1</x:v>
      </x:c>
      <x:c r="G580" s="54" t="n">
        <x:v>2925000</x:v>
      </x:c>
      <x:c r="H580" s="54" t="n">
        <x:v>2925000</x:v>
      </x:c>
      <x:c r="I580" s="54" t="n">
        <x:f>IF(AND(ISNUMBER(F580),ISNUMBER(G580)),ROUND(F580*G580,0),H580)</x:f>
        <x:v>2925000</x:v>
      </x:c>
      <x:c r="J580" s="54" t="n">
        <x:f>I580-H580</x:f>
        <x:v>0</x:v>
      </x:c>
      <x:c r="K580" s="51" t="str">
        <x:v>Материал/тоноглол</x:v>
      </x:c>
      <x:c r="L580" s="51" t="str">
        <x:f>IF(J580=0,"OK","Шалгах")</x:f>
        <x:v>OK</x:v>
      </x:c>
      <x:c r="M580" s="51" t="str">
        <x:v>Узель</x:v>
      </x:c>
      <x:c r="N580" s="51" t="n">
        <x:v>62</x:v>
      </x:c>
    </x:row>
    <x:row r="581">
      <x:c r="A581" s="51" t="str">
        <x:v>MAT-6R-0567</x:v>
      </x:c>
      <x:c r="B581" s="52" t="str">
        <x:v>Дулааны узель</x:v>
      </x:c>
      <x:c r="C581" s="52" t="str">
        <x:v>ECL-110 Удирдлагын самбар</x:v>
      </x:c>
      <x:c r="D581" s="52" t="str"/>
      <x:c r="E581" s="52" t="str">
        <x:v>ш</x:v>
      </x:c>
      <x:c r="F581" s="53" t="n">
        <x:v>1</x:v>
      </x:c>
      <x:c r="G581" s="54" t="n">
        <x:v>1200000</x:v>
      </x:c>
      <x:c r="H581" s="54" t="n">
        <x:v>1200000</x:v>
      </x:c>
      <x:c r="I581" s="54" t="n">
        <x:f>IF(AND(ISNUMBER(F581),ISNUMBER(G581)),ROUND(F581*G581,0),H581)</x:f>
        <x:v>1200000</x:v>
      </x:c>
      <x:c r="J581" s="54" t="n">
        <x:f>I581-H581</x:f>
        <x:v>0</x:v>
      </x:c>
      <x:c r="K581" s="51" t="str">
        <x:v>Материал/тоноглол</x:v>
      </x:c>
      <x:c r="L581" s="51" t="str">
        <x:f>IF(J581=0,"OK","Шалгах")</x:f>
        <x:v>OK</x:v>
      </x:c>
      <x:c r="M581" s="51" t="str">
        <x:v>Узель</x:v>
      </x:c>
      <x:c r="N581" s="51" t="n">
        <x:v>63</x:v>
      </x:c>
    </x:row>
    <x:row r="582">
      <x:c r="A582" s="51" t="str">
        <x:v>MAT-6R-0568</x:v>
      </x:c>
      <x:c r="B582" s="52" t="str">
        <x:v>Дулааны узель</x:v>
      </x:c>
      <x:c r="C582" s="52" t="str">
        <x:v>0-150 "С</x:v>
      </x:c>
      <x:c r="D582" s="52" t="str">
        <x:v>Термометр</x:v>
      </x:c>
      <x:c r="E582" s="52" t="str">
        <x:v>ш</x:v>
      </x:c>
      <x:c r="F582" s="53" t="n">
        <x:v>22</x:v>
      </x:c>
      <x:c r="G582" s="54" t="n">
        <x:v>33000</x:v>
      </x:c>
      <x:c r="H582" s="54" t="n">
        <x:v>726000</x:v>
      </x:c>
      <x:c r="I582" s="54" t="n">
        <x:f>IF(AND(ISNUMBER(F582),ISNUMBER(G582)),ROUND(F582*G582,0),H582)</x:f>
        <x:v>726000</x:v>
      </x:c>
      <x:c r="J582" s="54" t="n">
        <x:f>I582-H582</x:f>
        <x:v>0</x:v>
      </x:c>
      <x:c r="K582" s="51" t="str">
        <x:v>Материал/тоноглол</x:v>
      </x:c>
      <x:c r="L582" s="51" t="str">
        <x:f>IF(J582=0,"OK","Шалгах")</x:f>
        <x:v>OK</x:v>
      </x:c>
      <x:c r="M582" s="51" t="str">
        <x:v>Узель</x:v>
      </x:c>
      <x:c r="N582" s="51" t="n">
        <x:v>64</x:v>
      </x:c>
    </x:row>
    <x:row r="583">
      <x:c r="A583" s="51" t="str">
        <x:v>MAT-6R-0569</x:v>
      </x:c>
      <x:c r="B583" s="52" t="str">
        <x:v>Дулааны узель</x:v>
      </x:c>
      <x:c r="C583" s="52" t="str">
        <x:v>Манометр</x:v>
      </x:c>
      <x:c r="D583" s="52" t="str"/>
      <x:c r="E583" s="52" t="str">
        <x:v>ш</x:v>
      </x:c>
      <x:c r="F583" s="53" t="n">
        <x:v>22</x:v>
      </x:c>
      <x:c r="G583" s="54" t="n">
        <x:v>33000</x:v>
      </x:c>
      <x:c r="H583" s="54" t="n">
        <x:v>726000</x:v>
      </x:c>
      <x:c r="I583" s="54" t="n">
        <x:f>IF(AND(ISNUMBER(F583),ISNUMBER(G583)),ROUND(F583*G583,0),H583)</x:f>
        <x:v>726000</x:v>
      </x:c>
      <x:c r="J583" s="54" t="n">
        <x:f>I583-H583</x:f>
        <x:v>0</x:v>
      </x:c>
      <x:c r="K583" s="51" t="str">
        <x:v>Материал/тоноглол</x:v>
      </x:c>
      <x:c r="L583" s="51" t="str">
        <x:f>IF(J583=0,"OK","Шалгах")</x:f>
        <x:v>OK</x:v>
      </x:c>
      <x:c r="M583" s="51" t="str">
        <x:v>Узель</x:v>
      </x:c>
      <x:c r="N583" s="51" t="n">
        <x:v>65</x:v>
      </x:c>
    </x:row>
    <x:row r="584">
      <x:c r="A584" s="51" t="str">
        <x:v>MAT-6R-0570</x:v>
      </x:c>
      <x:c r="B584" s="52" t="str">
        <x:v>Дулааны узель</x:v>
      </x:c>
      <x:c r="C584" s="52" t="str">
        <x:v>Халуун усны эргэлтийн насосны</x:v>
      </x:c>
      <x:c r="D584" s="52" t="str">
        <x:v>Удирдлагын самбар</x:v>
      </x:c>
      <x:c r="E584" s="52" t="str">
        <x:v>ш</x:v>
      </x:c>
      <x:c r="F584" s="53" t="n">
        <x:v>1</x:v>
      </x:c>
      <x:c r="G584" s="54"/>
      <x:c r="H584" s="54" t="n">
        <x:v>0</x:v>
      </x:c>
      <x:c r="I584" s="54" t="n">
        <x:f>IF(AND(ISNUMBER(F584),ISNUMBER(G584)),ROUND(F584*G584,0),H584)</x:f>
        <x:v>0</x:v>
      </x:c>
      <x:c r="J584" s="54" t="n">
        <x:f>I584-H584</x:f>
        <x:v>0</x:v>
      </x:c>
      <x:c r="K584" s="51" t="str">
        <x:v>Материал/тоноглол</x:v>
      </x:c>
      <x:c r="L584" s="51" t="str">
        <x:f>IF(J584=0,"OK","Шалгах")</x:f>
        <x:v>OK</x:v>
      </x:c>
      <x:c r="M584" s="51" t="str">
        <x:v>Узель</x:v>
      </x:c>
      <x:c r="N584" s="51" t="n">
        <x:v>66</x:v>
      </x:c>
    </x:row>
    <x:row r="585">
      <x:c r="A585" s="51" t="str">
        <x:v>MAT-6R-0571</x:v>
      </x:c>
      <x:c r="B585" s="52" t="str">
        <x:v>Дулааны узель</x:v>
      </x:c>
      <x:c r="C585" s="52" t="str">
        <x:v>Нэмэлт усны эргэлтийн насосны</x:v>
      </x:c>
      <x:c r="D585" s="52" t="str">
        <x:v>Удирдлагын самбар</x:v>
      </x:c>
      <x:c r="E585" s="52" t="str">
        <x:v>ш</x:v>
      </x:c>
      <x:c r="F585" s="53" t="n">
        <x:v>1</x:v>
      </x:c>
      <x:c r="G585" s="54"/>
      <x:c r="H585" s="54" t="n">
        <x:v>0</x:v>
      </x:c>
      <x:c r="I585" s="54" t="n">
        <x:f>IF(AND(ISNUMBER(F585),ISNUMBER(G585)),ROUND(F585*G585,0),H585)</x:f>
        <x:v>0</x:v>
      </x:c>
      <x:c r="J585" s="54" t="n">
        <x:f>I585-H585</x:f>
        <x:v>0</x:v>
      </x:c>
      <x:c r="K585" s="51" t="str">
        <x:v>Материал/тоноглол</x:v>
      </x:c>
      <x:c r="L585" s="51" t="str">
        <x:f>IF(J585=0,"OK","Шалгах")</x:f>
        <x:v>OK</x:v>
      </x:c>
      <x:c r="M585" s="51" t="str">
        <x:v>Узель</x:v>
      </x:c>
      <x:c r="N585" s="51" t="n">
        <x:v>67</x:v>
      </x:c>
    </x:row>
    <x:row r="586">
      <x:c r="A586" s="51" t="str">
        <x:v>MAT-6R-0572</x:v>
      </x:c>
      <x:c r="B586" s="52" t="str">
        <x:v>Дулааны узель</x:v>
      </x:c>
      <x:c r="C586" s="52" t="str">
        <x:v>Нэмэлт усны эргэлтийн насосны</x:v>
      </x:c>
      <x:c r="D586" s="52" t="str">
        <x:v>Удирдлагын самбар</x:v>
      </x:c>
      <x:c r="E586" s="52" t="str">
        <x:v>ш</x:v>
      </x:c>
      <x:c r="F586" s="53" t="n">
        <x:v>1</x:v>
      </x:c>
      <x:c r="G586" s="54"/>
      <x:c r="H586" s="54" t="n">
        <x:v>0</x:v>
      </x:c>
      <x:c r="I586" s="54" t="n">
        <x:f>IF(AND(ISNUMBER(F586),ISNUMBER(G586)),ROUND(F586*G586,0),H586)</x:f>
        <x:v>0</x:v>
      </x:c>
      <x:c r="J586" s="54" t="n">
        <x:f>I586-H586</x:f>
        <x:v>0</x:v>
      </x:c>
      <x:c r="K586" s="51" t="str">
        <x:v>Материал/тоноглол</x:v>
      </x:c>
      <x:c r="L586" s="51" t="str">
        <x:f>IF(J586=0,"OK","Шалгах")</x:f>
        <x:v>OK</x:v>
      </x:c>
      <x:c r="M586" s="51" t="str">
        <x:v>Узель</x:v>
      </x:c>
      <x:c r="N586" s="51" t="n">
        <x:v>68</x:v>
      </x:c>
    </x:row>
    <x:row r="587">
      <x:c r="A587" s="51" t="str">
        <x:v>MAT-6R-0573</x:v>
      </x:c>
      <x:c r="B587" s="52" t="str">
        <x:v>Дулааны узель</x:v>
      </x:c>
      <x:c r="C587" s="52" t="str">
        <x:v>Hydro-x</x:v>
      </x:c>
      <x:c r="D587" s="52" t="str">
        <x:v>Ус зөөлрүүлэх төхөөрөмж</x:v>
      </x:c>
      <x:c r="E587" s="52" t="str">
        <x:v>ш</x:v>
      </x:c>
      <x:c r="F587" s="53" t="n">
        <x:v>1</x:v>
      </x:c>
      <x:c r="G587" s="54" t="n">
        <x:v>9750000</x:v>
      </x:c>
      <x:c r="H587" s="54" t="n">
        <x:v>9750000</x:v>
      </x:c>
      <x:c r="I587" s="54" t="n">
        <x:f>IF(AND(ISNUMBER(F587),ISNUMBER(G587)),ROUND(F587*G587,0),H587)</x:f>
        <x:v>9750000</x:v>
      </x:c>
      <x:c r="J587" s="54" t="n">
        <x:f>I587-H587</x:f>
        <x:v>0</x:v>
      </x:c>
      <x:c r="K587" s="51" t="str">
        <x:v>Материал/тоноглол</x:v>
      </x:c>
      <x:c r="L587" s="51" t="str">
        <x:f>IF(J587=0,"OK","Шалгах")</x:f>
        <x:v>OK</x:v>
      </x:c>
      <x:c r="M587" s="51" t="str">
        <x:v>Узель</x:v>
      </x:c>
      <x:c r="N587" s="51" t="n">
        <x:v>69</x:v>
      </x:c>
    </x:row>
    <x:row r="588">
      <x:c r="A588" s="51" t="str">
        <x:v>MAT-6R-0574</x:v>
      </x:c>
      <x:c r="B588" s="52" t="str">
        <x:v>Дулааны узель</x:v>
      </x:c>
      <x:c r="C588" s="52" t="str">
        <x:v>Бөмбөлгөн хаалт ф57</x:v>
      </x:c>
      <x:c r="D588" s="52" t="str">
        <x:v>Зардал тохируулагч баланслагч хаалт</x:v>
      </x:c>
      <x:c r="E588" s="52" t="str">
        <x:v>ш</x:v>
      </x:c>
      <x:c r="F588" s="53" t="n">
        <x:v>3</x:v>
      </x:c>
      <x:c r="G588" s="54" t="n">
        <x:v>300000</x:v>
      </x:c>
      <x:c r="H588" s="54" t="n">
        <x:v>900000</x:v>
      </x:c>
      <x:c r="I588" s="54" t="n">
        <x:f>IF(AND(ISNUMBER(F588),ISNUMBER(G588)),ROUND(F588*G588,0),H588)</x:f>
        <x:v>900000</x:v>
      </x:c>
      <x:c r="J588" s="54" t="n">
        <x:f>I588-H588</x:f>
        <x:v>0</x:v>
      </x:c>
      <x:c r="K588" s="51" t="str">
        <x:v>Материал/тоноглол</x:v>
      </x:c>
      <x:c r="L588" s="51" t="str">
        <x:f>IF(J588=0,"OK","Шалгах")</x:f>
        <x:v>OK</x:v>
      </x:c>
      <x:c r="M588" s="51" t="str">
        <x:v>Узель</x:v>
      </x:c>
      <x:c r="N588" s="51" t="n">
        <x:v>70</x:v>
      </x:c>
    </x:row>
    <x:row r="589">
      <x:c r="A589" s="51" t="str">
        <x:v>MAT-6R-0575</x:v>
      </x:c>
      <x:c r="B589" s="52" t="str">
        <x:v>Дулааны узель</x:v>
      </x:c>
      <x:c r="C589" s="52" t="str">
        <x:v>Бөмбөлгөн хаалт ф57</x:v>
      </x:c>
      <x:c r="D589" s="52" t="str">
        <x:v>Даралт тохируулагч баланслагч хаалт</x:v>
      </x:c>
      <x:c r="E589" s="52" t="str">
        <x:v>ш</x:v>
      </x:c>
      <x:c r="F589" s="53" t="n">
        <x:v>3</x:v>
      </x:c>
      <x:c r="G589" s="54" t="n">
        <x:v>300000</x:v>
      </x:c>
      <x:c r="H589" s="54" t="n">
        <x:v>900000</x:v>
      </x:c>
      <x:c r="I589" s="54" t="n">
        <x:f>IF(AND(ISNUMBER(F589),ISNUMBER(G589)),ROUND(F589*G589,0),H589)</x:f>
        <x:v>900000</x:v>
      </x:c>
      <x:c r="J589" s="54" t="n">
        <x:f>I589-H589</x:f>
        <x:v>0</x:v>
      </x:c>
      <x:c r="K589" s="51" t="str">
        <x:v>Материал/тоноглол</x:v>
      </x:c>
      <x:c r="L589" s="51" t="str">
        <x:f>IF(J589=0,"OK","Шалгах")</x:f>
        <x:v>OK</x:v>
      </x:c>
      <x:c r="M589" s="51" t="str">
        <x:v>Узель</x:v>
      </x:c>
      <x:c r="N589" s="51" t="n">
        <x:v>71</x:v>
      </x:c>
    </x:row>
    <x:row r="590">
      <x:c r="A590" s="51" t="str">
        <x:v>MAT-6R-0576</x:v>
      </x:c>
      <x:c r="B590" s="52" t="str">
        <x:v>Дулааны узель</x:v>
      </x:c>
      <x:c r="C590" s="52" t="str">
        <x:v>Бөмбөлгөн хаалт ф45</x:v>
      </x:c>
      <x:c r="D590" s="52" t="str">
        <x:v>Зардал тохируулагч баланслагч хаалт</x:v>
      </x:c>
      <x:c r="E590" s="52" t="str">
        <x:v>ш</x:v>
      </x:c>
      <x:c r="F590" s="53" t="n">
        <x:v>2</x:v>
      </x:c>
      <x:c r="G590" s="54" t="n">
        <x:v>220000</x:v>
      </x:c>
      <x:c r="H590" s="54" t="n">
        <x:v>440000</x:v>
      </x:c>
      <x:c r="I590" s="54" t="n">
        <x:f>IF(AND(ISNUMBER(F590),ISNUMBER(G590)),ROUND(F590*G590,0),H590)</x:f>
        <x:v>440000</x:v>
      </x:c>
      <x:c r="J590" s="54" t="n">
        <x:f>I590-H590</x:f>
        <x:v>0</x:v>
      </x:c>
      <x:c r="K590" s="51" t="str">
        <x:v>Материал/тоноглол</x:v>
      </x:c>
      <x:c r="L590" s="51" t="str">
        <x:f>IF(J590=0,"OK","Шалгах")</x:f>
        <x:v>OK</x:v>
      </x:c>
      <x:c r="M590" s="51" t="str">
        <x:v>Узель</x:v>
      </x:c>
      <x:c r="N590" s="51" t="n">
        <x:v>72</x:v>
      </x:c>
    </x:row>
    <x:row r="591">
      <x:c r="A591" s="51" t="str">
        <x:v>MAT-6R-0577</x:v>
      </x:c>
      <x:c r="B591" s="52" t="str">
        <x:v>Дулааны узель</x:v>
      </x:c>
      <x:c r="C591" s="52" t="str">
        <x:v>Бөмбөлгөн хаалт ф45</x:v>
      </x:c>
      <x:c r="D591" s="52" t="str">
        <x:v>Даралт тохируулагч баланслагч хаалт</x:v>
      </x:c>
      <x:c r="E591" s="52" t="str">
        <x:v>ш</x:v>
      </x:c>
      <x:c r="F591" s="53" t="n">
        <x:v>2</x:v>
      </x:c>
      <x:c r="G591" s="54" t="n">
        <x:v>220000</x:v>
      </x:c>
      <x:c r="H591" s="54" t="n">
        <x:v>440000</x:v>
      </x:c>
      <x:c r="I591" s="54" t="n">
        <x:f>IF(AND(ISNUMBER(F591),ISNUMBER(G591)),ROUND(F591*G591,0),H591)</x:f>
        <x:v>440000</x:v>
      </x:c>
      <x:c r="J591" s="54" t="n">
        <x:f>I591-H591</x:f>
        <x:v>0</x:v>
      </x:c>
      <x:c r="K591" s="51" t="str">
        <x:v>Материал/тоноглол</x:v>
      </x:c>
      <x:c r="L591" s="51" t="str">
        <x:f>IF(J591=0,"OK","Шалгах")</x:f>
        <x:v>OK</x:v>
      </x:c>
      <x:c r="M591" s="51" t="str">
        <x:v>Узель</x:v>
      </x:c>
      <x:c r="N591" s="51" t="n">
        <x:v>73</x:v>
      </x:c>
    </x:row>
    <x:row r="592">
      <x:c r="A592" s="51" t="str">
        <x:v>MAT-6R-0578</x:v>
      </x:c>
      <x:c r="B592" s="52" t="str">
        <x:v>Дулааны узель</x:v>
      </x:c>
      <x:c r="C592" s="52" t="str">
        <x:v>Бөмбөлгөн хаалт ф38</x:v>
      </x:c>
      <x:c r="D592" s="52" t="str">
        <x:v>Зардал тохируулагч баланслагч хаалт</x:v>
      </x:c>
      <x:c r="E592" s="52" t="str">
        <x:v>ш</x:v>
      </x:c>
      <x:c r="F592" s="53" t="n">
        <x:v>3</x:v>
      </x:c>
      <x:c r="G592" s="54" t="n">
        <x:v>190000</x:v>
      </x:c>
      <x:c r="H592" s="54" t="n">
        <x:v>570000</x:v>
      </x:c>
      <x:c r="I592" s="54" t="n">
        <x:f>IF(AND(ISNUMBER(F592),ISNUMBER(G592)),ROUND(F592*G592,0),H592)</x:f>
        <x:v>570000</x:v>
      </x:c>
      <x:c r="J592" s="54" t="n">
        <x:f>I592-H592</x:f>
        <x:v>0</x:v>
      </x:c>
      <x:c r="K592" s="51" t="str">
        <x:v>Материал/тоноглол</x:v>
      </x:c>
      <x:c r="L592" s="51" t="str">
        <x:f>IF(J592=0,"OK","Шалгах")</x:f>
        <x:v>OK</x:v>
      </x:c>
      <x:c r="M592" s="51" t="str">
        <x:v>Узель</x:v>
      </x:c>
      <x:c r="N592" s="51" t="n">
        <x:v>74</x:v>
      </x:c>
    </x:row>
    <x:row r="593">
      <x:c r="A593" s="51" t="str">
        <x:v>MAT-6R-0579</x:v>
      </x:c>
      <x:c r="B593" s="52" t="str">
        <x:v>Дулааны узель</x:v>
      </x:c>
      <x:c r="C593" s="52" t="str">
        <x:v>Бөмбөлгөн хаалт ф48</x:v>
      </x:c>
      <x:c r="D593" s="52" t="str">
        <x:v>Даралт тохируулагч баланслагч хаалт</x:v>
      </x:c>
      <x:c r="E593" s="52" t="str">
        <x:v>ш</x:v>
      </x:c>
      <x:c r="F593" s="53" t="n">
        <x:v>3</x:v>
      </x:c>
      <x:c r="G593" s="54" t="n">
        <x:v>220000</x:v>
      </x:c>
      <x:c r="H593" s="54" t="n">
        <x:v>660000</x:v>
      </x:c>
      <x:c r="I593" s="54" t="n">
        <x:f>IF(AND(ISNUMBER(F593),ISNUMBER(G593)),ROUND(F593*G593,0),H593)</x:f>
        <x:v>660000</x:v>
      </x:c>
      <x:c r="J593" s="54" t="n">
        <x:f>I593-H593</x:f>
        <x:v>0</x:v>
      </x:c>
      <x:c r="K593" s="51" t="str">
        <x:v>Материал/тоноглол</x:v>
      </x:c>
      <x:c r="L593" s="51" t="str">
        <x:f>IF(J593=0,"OK","Шалгах")</x:f>
        <x:v>OK</x:v>
      </x:c>
      <x:c r="M593" s="51" t="str">
        <x:v>Узель</x:v>
      </x:c>
      <x:c r="N593" s="51" t="n">
        <x:v>75</x:v>
      </x:c>
    </x:row>
    <x:row r="594">
      <x:c r="A594" s="51" t="str">
        <x:v>MAT-6R-0580</x:v>
      </x:c>
      <x:c r="B594" s="52" t="str">
        <x:v>Дулааны узель</x:v>
      </x:c>
      <x:c r="C594" s="52" t="str">
        <x:v>Бөмбөлгөн хаалт ф25</x:v>
      </x:c>
      <x:c r="D594" s="52" t="str">
        <x:v>Зардал тохируулагч баланслагч хаалт</x:v>
      </x:c>
      <x:c r="E594" s="52" t="str">
        <x:v>ш</x:v>
      </x:c>
      <x:c r="F594" s="53" t="n">
        <x:v>22</x:v>
      </x:c>
      <x:c r="G594" s="54" t="n">
        <x:v>145000</x:v>
      </x:c>
      <x:c r="H594" s="54" t="n">
        <x:v>3190000</x:v>
      </x:c>
      <x:c r="I594" s="54" t="n">
        <x:f>IF(AND(ISNUMBER(F594),ISNUMBER(G594)),ROUND(F594*G594,0),H594)</x:f>
        <x:v>3190000</x:v>
      </x:c>
      <x:c r="J594" s="54" t="n">
        <x:f>I594-H594</x:f>
        <x:v>0</x:v>
      </x:c>
      <x:c r="K594" s="51" t="str">
        <x:v>Материал/тоноглол</x:v>
      </x:c>
      <x:c r="L594" s="51" t="str">
        <x:f>IF(J594=0,"OK","Шалгах")</x:f>
        <x:v>OK</x:v>
      </x:c>
      <x:c r="M594" s="51" t="str">
        <x:v>Узель</x:v>
      </x:c>
      <x:c r="N594" s="51" t="n">
        <x:v>76</x:v>
      </x:c>
    </x:row>
    <x:row r="595">
      <x:c r="A595" s="51" t="str">
        <x:v>MAT-6R-0581</x:v>
      </x:c>
      <x:c r="B595" s="52" t="str">
        <x:v>Дулааны узель</x:v>
      </x:c>
      <x:c r="C595" s="52" t="str">
        <x:v>Бөмбөлгөн хаалт 25</x:v>
      </x:c>
      <x:c r="D595" s="52" t="str">
        <x:v>Даралт тохируулагч баланслагч хаалт</x:v>
      </x:c>
      <x:c r="E595" s="52" t="str">
        <x:v>ш</x:v>
      </x:c>
      <x:c r="F595" s="53" t="n">
        <x:v>2</x:v>
      </x:c>
      <x:c r="G595" s="54" t="n">
        <x:v>145000</x:v>
      </x:c>
      <x:c r="H595" s="54" t="n">
        <x:v>290000</x:v>
      </x:c>
      <x:c r="I595" s="54" t="n">
        <x:f>IF(AND(ISNUMBER(F595),ISNUMBER(G595)),ROUND(F595*G595,0),H595)</x:f>
        <x:v>290000</x:v>
      </x:c>
      <x:c r="J595" s="54" t="n">
        <x:f>I595-H595</x:f>
        <x:v>0</x:v>
      </x:c>
      <x:c r="K595" s="51" t="str">
        <x:v>Материал/тоноглол</x:v>
      </x:c>
      <x:c r="L595" s="51" t="str">
        <x:f>IF(J595=0,"OK","Шалгах")</x:f>
        <x:v>OK</x:v>
      </x:c>
      <x:c r="M595" s="51" t="str">
        <x:v>Узель</x:v>
      </x:c>
      <x:c r="N595" s="51" t="n">
        <x:v>77</x:v>
      </x:c>
    </x:row>
    <x:row r="596">
      <x:c r="A596" s="51" t="str">
        <x:v>MAT-6R-0582</x:v>
      </x:c>
      <x:c r="B596" s="52" t="str">
        <x:v>Дулааны узель</x:v>
      </x:c>
      <x:c r="C596" s="52" t="str">
        <x:v>Зэврэлтээс хамгаалах түрхлэг</x:v>
      </x:c>
      <x:c r="D596" s="52" t="str"/>
      <x:c r="E596" s="52" t="str">
        <x:v>л</x:v>
      </x:c>
      <x:c r="F596" s="53" t="n">
        <x:v>4</x:v>
      </x:c>
      <x:c r="G596" s="54" t="n">
        <x:v>15000</x:v>
      </x:c>
      <x:c r="H596" s="54" t="n">
        <x:v>60000</x:v>
      </x:c>
      <x:c r="I596" s="54" t="n">
        <x:f>IF(AND(ISNUMBER(F596),ISNUMBER(G596)),ROUND(F596*G596,0),H596)</x:f>
        <x:v>60000</x:v>
      </x:c>
      <x:c r="J596" s="54" t="n">
        <x:f>I596-H596</x:f>
        <x:v>0</x:v>
      </x:c>
      <x:c r="K596" s="51" t="str">
        <x:v>Материал/тоноглол</x:v>
      </x:c>
      <x:c r="L596" s="51" t="str">
        <x:f>IF(J596=0,"OK","Шалгах")</x:f>
        <x:v>OK</x:v>
      </x:c>
      <x:c r="M596" s="51" t="str">
        <x:v>Узель</x:v>
      </x:c>
      <x:c r="N596" s="51" t="n">
        <x:v>78</x:v>
      </x:c>
    </x:row>
    <x:row r="597">
      <x:c r="A597" s="51" t="str">
        <x:v>MAT-6R-0583</x:v>
      </x:c>
      <x:c r="B597" s="52" t="str">
        <x:v>Дулааны узель</x:v>
      </x:c>
      <x:c r="C597" s="52" t="str">
        <x:v>пенополиутран дулаалга</x:v>
      </x:c>
      <x:c r="D597" s="52" t="str">
        <x:v>Хэвлэмэл дулаалга ф133</x:v>
      </x:c>
      <x:c r="E597" s="52" t="str">
        <x:v>у/м</x:v>
      </x:c>
      <x:c r="F597" s="53" t="n">
        <x:v>30</x:v>
      </x:c>
      <x:c r="G597" s="54" t="n">
        <x:v>16000</x:v>
      </x:c>
      <x:c r="H597" s="54" t="n">
        <x:v>480000</x:v>
      </x:c>
      <x:c r="I597" s="54" t="n">
        <x:f>IF(AND(ISNUMBER(F597),ISNUMBER(G597)),ROUND(F597*G597,0),H597)</x:f>
        <x:v>480000</x:v>
      </x:c>
      <x:c r="J597" s="54" t="n">
        <x:f>I597-H597</x:f>
        <x:v>0</x:v>
      </x:c>
      <x:c r="K597" s="51" t="str">
        <x:v>Материал/тоноглол</x:v>
      </x:c>
      <x:c r="L597" s="51" t="str">
        <x:f>IF(J597=0,"OK","Шалгах")</x:f>
        <x:v>OK</x:v>
      </x:c>
      <x:c r="M597" s="51" t="str">
        <x:v>Узель</x:v>
      </x:c>
      <x:c r="N597" s="51" t="n">
        <x:v>79</x:v>
      </x:c>
    </x:row>
    <x:row r="598">
      <x:c r="A598" s="51" t="str">
        <x:v>MAT-6R-0584</x:v>
      </x:c>
      <x:c r="B598" s="52" t="str">
        <x:v>Дулааны узель</x:v>
      </x:c>
      <x:c r="C598" s="52" t="str">
        <x:v>пенополиутран дулаалга</x:v>
      </x:c>
      <x:c r="D598" s="52" t="str">
        <x:v>Хэвлэмэл дулаалга ф108</x:v>
      </x:c>
      <x:c r="E598" s="52" t="str">
        <x:v>у/м</x:v>
      </x:c>
      <x:c r="F598" s="53" t="n">
        <x:v>10</x:v>
      </x:c>
      <x:c r="G598" s="54" t="n">
        <x:v>14000</x:v>
      </x:c>
      <x:c r="H598" s="54" t="n">
        <x:v>140000</x:v>
      </x:c>
      <x:c r="I598" s="54" t="n">
        <x:f>IF(AND(ISNUMBER(F598),ISNUMBER(G598)),ROUND(F598*G598,0),H598)</x:f>
        <x:v>140000</x:v>
      </x:c>
      <x:c r="J598" s="54" t="n">
        <x:f>I598-H598</x:f>
        <x:v>0</x:v>
      </x:c>
      <x:c r="K598" s="51" t="str">
        <x:v>Материал/тоноглол</x:v>
      </x:c>
      <x:c r="L598" s="51" t="str">
        <x:f>IF(J598=0,"OK","Шалгах")</x:f>
        <x:v>OK</x:v>
      </x:c>
      <x:c r="M598" s="51" t="str">
        <x:v>Узель</x:v>
      </x:c>
      <x:c r="N598" s="51" t="n">
        <x:v>80</x:v>
      </x:c>
    </x:row>
    <x:row r="599">
      <x:c r="A599" s="51" t="str">
        <x:v>MAT-6R-0585</x:v>
      </x:c>
      <x:c r="B599" s="52" t="str">
        <x:v>Дулааны узель</x:v>
      </x:c>
      <x:c r="C599" s="52" t="str">
        <x:v>пенополиутран дулаалга</x:v>
      </x:c>
      <x:c r="D599" s="52" t="str">
        <x:v>Хэвлэмэл дулаалга ф89</x:v>
      </x:c>
      <x:c r="E599" s="52" t="str">
        <x:v>у/м</x:v>
      </x:c>
      <x:c r="F599" s="53" t="n">
        <x:v>15</x:v>
      </x:c>
      <x:c r="G599" s="54" t="n">
        <x:v>13000</x:v>
      </x:c>
      <x:c r="H599" s="54" t="n">
        <x:v>195000</x:v>
      </x:c>
      <x:c r="I599" s="54" t="n">
        <x:f>IF(AND(ISNUMBER(F599),ISNUMBER(G599)),ROUND(F599*G599,0),H599)</x:f>
        <x:v>195000</x:v>
      </x:c>
      <x:c r="J599" s="54" t="n">
        <x:f>I599-H599</x:f>
        <x:v>0</x:v>
      </x:c>
      <x:c r="K599" s="51" t="str">
        <x:v>Материал/тоноглол</x:v>
      </x:c>
      <x:c r="L599" s="51" t="str">
        <x:f>IF(J599=0,"OK","Шалгах")</x:f>
        <x:v>OK</x:v>
      </x:c>
      <x:c r="M599" s="51" t="str">
        <x:v>Узель</x:v>
      </x:c>
      <x:c r="N599" s="51" t="n">
        <x:v>81</x:v>
      </x:c>
    </x:row>
    <x:row r="600">
      <x:c r="A600" s="51" t="str">
        <x:v>MAT-6R-0586</x:v>
      </x:c>
      <x:c r="B600" s="52" t="str">
        <x:v>Дулааны узель</x:v>
      </x:c>
      <x:c r="C600" s="52" t="str">
        <x:v>Хомучиг</x:v>
      </x:c>
      <x:c r="D600" s="52" t="str"/>
      <x:c r="E600" s="52" t="str">
        <x:v>ш</x:v>
      </x:c>
      <x:c r="F600" s="53" t="n">
        <x:v>50</x:v>
      </x:c>
      <x:c r="G600" s="54" t="n">
        <x:v>5900</x:v>
      </x:c>
      <x:c r="H600" s="54" t="n">
        <x:v>295000</x:v>
      </x:c>
      <x:c r="I600" s="54" t="n">
        <x:f>IF(AND(ISNUMBER(F600),ISNUMBER(G600)),ROUND(F600*G600,0),H600)</x:f>
        <x:v>295000</x:v>
      </x:c>
      <x:c r="J600" s="54" t="n">
        <x:f>I600-H600</x:f>
        <x:v>0</x:v>
      </x:c>
      <x:c r="K600" s="51" t="str">
        <x:v>Материал/тоноглол</x:v>
      </x:c>
      <x:c r="L600" s="51" t="str">
        <x:f>IF(J600=0,"OK","Шалгах")</x:f>
        <x:v>OK</x:v>
      </x:c>
      <x:c r="M600" s="51" t="str">
        <x:v>Узель</x:v>
      </x:c>
      <x:c r="N600" s="51" t="n">
        <x:v>82</x:v>
      </x:c>
    </x:row>
    <x:row r="601">
      <x:c r="A601" s="51" t="str">
        <x:v>MAT-6R-0587</x:v>
      </x:c>
      <x:c r="B601" s="52" t="str">
        <x:v>Дулааны узель</x:v>
      </x:c>
      <x:c r="C601" s="52" t="str">
        <x:v>Өнгийн тууз улаан</x:v>
      </x:c>
      <x:c r="D601" s="52" t="str"/>
      <x:c r="E601" s="52" t="str">
        <x:v>ш</x:v>
      </x:c>
      <x:c r="F601" s="53" t="n">
        <x:v>20</x:v>
      </x:c>
      <x:c r="G601" s="54" t="n">
        <x:v>3300</x:v>
      </x:c>
      <x:c r="H601" s="54" t="n">
        <x:v>66000</x:v>
      </x:c>
      <x:c r="I601" s="54" t="n">
        <x:f>IF(AND(ISNUMBER(F601),ISNUMBER(G601)),ROUND(F601*G601,0),H601)</x:f>
        <x:v>66000</x:v>
      </x:c>
      <x:c r="J601" s="54" t="n">
        <x:f>I601-H601</x:f>
        <x:v>0</x:v>
      </x:c>
      <x:c r="K601" s="51" t="str">
        <x:v>Материал/тоноглол</x:v>
      </x:c>
      <x:c r="L601" s="51" t="str">
        <x:f>IF(J601=0,"OK","Шалгах")</x:f>
        <x:v>OK</x:v>
      </x:c>
      <x:c r="M601" s="51" t="str">
        <x:v>Узель</x:v>
      </x:c>
      <x:c r="N601" s="51" t="n">
        <x:v>83</x:v>
      </x:c>
    </x:row>
    <x:row r="602">
      <x:c r="A602" s="51" t="str">
        <x:v>MAT-6R-0588</x:v>
      </x:c>
      <x:c r="B602" s="52" t="str">
        <x:v>Дулааны узель</x:v>
      </x:c>
      <x:c r="C602" s="52" t="str">
        <x:v>Өнгийн тууз Цэнхэр</x:v>
      </x:c>
      <x:c r="D602" s="52" t="str"/>
      <x:c r="E602" s="52" t="str">
        <x:v>ш</x:v>
      </x:c>
      <x:c r="F602" s="53" t="n">
        <x:v>20</x:v>
      </x:c>
      <x:c r="G602" s="54" t="n">
        <x:v>3300</x:v>
      </x:c>
      <x:c r="H602" s="54" t="n">
        <x:v>66000</x:v>
      </x:c>
      <x:c r="I602" s="54" t="n">
        <x:f>IF(AND(ISNUMBER(F602),ISNUMBER(G602)),ROUND(F602*G602,0),H602)</x:f>
        <x:v>66000</x:v>
      </x:c>
      <x:c r="J602" s="54" t="n">
        <x:f>I602-H602</x:f>
        <x:v>0</x:v>
      </x:c>
      <x:c r="K602" s="51" t="str">
        <x:v>Материал/тоноглол</x:v>
      </x:c>
      <x:c r="L602" s="51" t="str">
        <x:f>IF(J602=0,"OK","Шалгах")</x:f>
        <x:v>OK</x:v>
      </x:c>
      <x:c r="M602" s="51" t="str">
        <x:v>Узель</x:v>
      </x:c>
      <x:c r="N602" s="51" t="n">
        <x:v>84</x:v>
      </x:c>
    </x:row>
    <x:row r="603">
      <x:c r="A603" s="51" t="str">
        <x:v>MAT-6R-0589</x:v>
      </x:c>
      <x:c r="B603" s="52" t="str">
        <x:v>Дулааны узель</x:v>
      </x:c>
      <x:c r="C603" s="52" t="str">
        <x:v>Өнгийн тууз Ногоон</x:v>
      </x:c>
      <x:c r="D603" s="52" t="str"/>
      <x:c r="E603" s="52" t="str">
        <x:v>ш</x:v>
      </x:c>
      <x:c r="F603" s="53" t="n">
        <x:v>20</x:v>
      </x:c>
      <x:c r="G603" s="54" t="n">
        <x:v>3300</x:v>
      </x:c>
      <x:c r="H603" s="54" t="n">
        <x:v>66000</x:v>
      </x:c>
      <x:c r="I603" s="54" t="n">
        <x:f>IF(AND(ISNUMBER(F603),ISNUMBER(G603)),ROUND(F603*G603,0),H603)</x:f>
        <x:v>66000</x:v>
      </x:c>
      <x:c r="J603" s="54" t="n">
        <x:f>I603-H603</x:f>
        <x:v>0</x:v>
      </x:c>
      <x:c r="K603" s="51" t="str">
        <x:v>Материал/тоноглол</x:v>
      </x:c>
      <x:c r="L603" s="51" t="str">
        <x:f>IF(J603=0,"OK","Шалгах")</x:f>
        <x:v>OK</x:v>
      </x:c>
      <x:c r="M603" s="51" t="str">
        <x:v>Узель</x:v>
      </x:c>
      <x:c r="N603" s="51" t="n">
        <x:v>85</x:v>
      </x:c>
    </x:row>
    <x:row r="604">
      <x:c r="A604" s="51" t="str">
        <x:v>MAT-6R-0590</x:v>
      </x:c>
      <x:c r="B604" s="52" t="str">
        <x:v>Дулааны узель</x:v>
      </x:c>
      <x:c r="C604" s="52" t="str">
        <x:v>Өнгийн тууз Шар</x:v>
      </x:c>
      <x:c r="D604" s="52" t="str"/>
      <x:c r="E604" s="52" t="str">
        <x:v>ш</x:v>
      </x:c>
      <x:c r="F604" s="53" t="n">
        <x:v>20</x:v>
      </x:c>
      <x:c r="G604" s="54" t="n">
        <x:v>3300</x:v>
      </x:c>
      <x:c r="H604" s="54" t="n">
        <x:v>66000</x:v>
      </x:c>
      <x:c r="I604" s="54" t="n">
        <x:f>IF(AND(ISNUMBER(F604),ISNUMBER(G604)),ROUND(F604*G604,0),H604)</x:f>
        <x:v>66000</x:v>
      </x:c>
      <x:c r="J604" s="54" t="n">
        <x:f>I604-H604</x:f>
        <x:v>0</x:v>
      </x:c>
      <x:c r="K604" s="51" t="str">
        <x:v>Материал/тоноглол</x:v>
      </x:c>
      <x:c r="L604" s="51" t="str">
        <x:f>IF(J604=0,"OK","Шалгах")</x:f>
        <x:v>OK</x:v>
      </x:c>
      <x:c r="M604" s="51" t="str">
        <x:v>Узель</x:v>
      </x:c>
      <x:c r="N604" s="51" t="n">
        <x:v>86</x:v>
      </x:c>
    </x:row>
    <x:row r="605">
      <x:c r="A605" s="51" t="str">
        <x:v>MAT-6R-0591</x:v>
      </x:c>
      <x:c r="B605" s="52" t="str">
        <x:v>Дулааны узель</x:v>
      </x:c>
      <x:c r="C605" s="52" t="str">
        <x:v>Аваарын хаалт ф32</x:v>
      </x:c>
      <x:c r="D605" s="52" t="str"/>
      <x:c r="E605" s="52" t="str">
        <x:v>ш</x:v>
      </x:c>
      <x:c r="F605" s="53" t="n">
        <x:v>2</x:v>
      </x:c>
      <x:c r="G605" s="54" t="n">
        <x:v>42000</x:v>
      </x:c>
      <x:c r="H605" s="54" t="n">
        <x:v>84000</x:v>
      </x:c>
      <x:c r="I605" s="54" t="n">
        <x:f>IF(AND(ISNUMBER(F605),ISNUMBER(G605)),ROUND(F605*G605,0),H605)</x:f>
        <x:v>84000</x:v>
      </x:c>
      <x:c r="J605" s="54" t="n">
        <x:f>I605-H605</x:f>
        <x:v>0</x:v>
      </x:c>
      <x:c r="K605" s="51" t="str">
        <x:v>Материал/тоноглол</x:v>
      </x:c>
      <x:c r="L605" s="51" t="str">
        <x:f>IF(J605=0,"OK","Шалгах")</x:f>
        <x:v>OK</x:v>
      </x:c>
      <x:c r="M605" s="51" t="str">
        <x:v>Узель</x:v>
      </x:c>
      <x:c r="N605" s="51" t="n">
        <x:v>87</x:v>
      </x:c>
    </x:row>
    <x:row r="606">
      <x:c r="A606" s="51" t="str">
        <x:v>MAT-6R-0592</x:v>
      </x:c>
      <x:c r="B606" s="52" t="str">
        <x:v>Дулааны узель</x:v>
      </x:c>
      <x:c r="C606" s="52" t="str">
        <x:v>Хэвлэмэл отвот 90 ф133</x:v>
      </x:c>
      <x:c r="D606" s="52" t="str"/>
      <x:c r="E606" s="52" t="str">
        <x:v>ш</x:v>
      </x:c>
      <x:c r="F606" s="53" t="n">
        <x:v>18</x:v>
      </x:c>
      <x:c r="G606" s="54" t="n">
        <x:v>41580</x:v>
      </x:c>
      <x:c r="H606" s="54" t="n">
        <x:v>748440</x:v>
      </x:c>
      <x:c r="I606" s="54" t="n">
        <x:f>IF(AND(ISNUMBER(F606),ISNUMBER(G606)),ROUND(F606*G606,0),H606)</x:f>
        <x:v>748440</x:v>
      </x:c>
      <x:c r="J606" s="54" t="n">
        <x:f>I606-H606</x:f>
        <x:v>0</x:v>
      </x:c>
      <x:c r="K606" s="51" t="str">
        <x:v>Материал/тоноглол</x:v>
      </x:c>
      <x:c r="L606" s="51" t="str">
        <x:f>IF(J606=0,"OK","Шалгах")</x:f>
        <x:v>OK</x:v>
      </x:c>
      <x:c r="M606" s="51" t="str">
        <x:v>Узель</x:v>
      </x:c>
      <x:c r="N606" s="51" t="n">
        <x:v>88</x:v>
      </x:c>
    </x:row>
    <x:row r="607">
      <x:c r="A607" s="51" t="str">
        <x:v>MAT-6R-0593</x:v>
      </x:c>
      <x:c r="B607" s="52" t="str">
        <x:v>Дулааны узель</x:v>
      </x:c>
      <x:c r="C607" s="52" t="str">
        <x:v>Хэвлэмэл отвот 90 ф108</x:v>
      </x:c>
      <x:c r="D607" s="52" t="str"/>
      <x:c r="E607" s="52" t="str">
        <x:v>ш</x:v>
      </x:c>
      <x:c r="F607" s="53" t="n">
        <x:v>6</x:v>
      </x:c>
      <x:c r="G607" s="54" t="n">
        <x:v>31260</x:v>
      </x:c>
      <x:c r="H607" s="54" t="n">
        <x:v>187560</x:v>
      </x:c>
      <x:c r="I607" s="54" t="n">
        <x:f>IF(AND(ISNUMBER(F607),ISNUMBER(G607)),ROUND(F607*G607,0),H607)</x:f>
        <x:v>187560</x:v>
      </x:c>
      <x:c r="J607" s="54" t="n">
        <x:f>I607-H607</x:f>
        <x:v>0</x:v>
      </x:c>
      <x:c r="K607" s="51" t="str">
        <x:v>Материал/тоноглол</x:v>
      </x:c>
      <x:c r="L607" s="51" t="str">
        <x:f>IF(J607=0,"OK","Шалгах")</x:f>
        <x:v>OK</x:v>
      </x:c>
      <x:c r="M607" s="51" t="str">
        <x:v>Узель</x:v>
      </x:c>
      <x:c r="N607" s="51" t="n">
        <x:v>89</x:v>
      </x:c>
    </x:row>
    <x:row r="608">
      <x:c r="A608" s="51" t="str">
        <x:v>MAT-6R-0594</x:v>
      </x:c>
      <x:c r="B608" s="52" t="str">
        <x:v>Дулааны узель</x:v>
      </x:c>
      <x:c r="C608" s="52" t="str">
        <x:v>Хэвлэмэл шилжвэр ф133*108</x:v>
      </x:c>
      <x:c r="D608" s="52" t="str"/>
      <x:c r="E608" s="52" t="str">
        <x:v>ш</x:v>
      </x:c>
      <x:c r="F608" s="53" t="n">
        <x:v>4</x:v>
      </x:c>
      <x:c r="G608" s="54" t="n">
        <x:v>24050</x:v>
      </x:c>
      <x:c r="H608" s="54" t="n">
        <x:v>96200</x:v>
      </x:c>
      <x:c r="I608" s="54" t="n">
        <x:f>IF(AND(ISNUMBER(F608),ISNUMBER(G608)),ROUND(F608*G608,0),H608)</x:f>
        <x:v>96200</x:v>
      </x:c>
      <x:c r="J608" s="54" t="n">
        <x:f>I608-H608</x:f>
        <x:v>0</x:v>
      </x:c>
      <x:c r="K608" s="51" t="str">
        <x:v>Материал/тоноглол</x:v>
      </x:c>
      <x:c r="L608" s="51" t="str">
        <x:f>IF(J608=0,"OK","Шалгах")</x:f>
        <x:v>OK</x:v>
      </x:c>
      <x:c r="M608" s="51" t="str">
        <x:v>Узель</x:v>
      </x:c>
      <x:c r="N608" s="51" t="n">
        <x:v>90</x:v>
      </x:c>
    </x:row>
    <x:row r="609">
      <x:c r="A609" s="51" t="str">
        <x:v>MAT-6R-0595</x:v>
      </x:c>
      <x:c r="B609" s="52" t="str">
        <x:v>Дулааны узель</x:v>
      </x:c>
      <x:c r="C609" s="52" t="str">
        <x:v>винтель</x:v>
      </x:c>
      <x:c r="D609" s="52" t="str">
        <x:v>Юүлэгч хаалт ф15</x:v>
      </x:c>
      <x:c r="E609" s="52" t="str">
        <x:v>ш</x:v>
      </x:c>
      <x:c r="F609" s="53" t="n">
        <x:v>24</x:v>
      </x:c>
      <x:c r="G609" s="54" t="n">
        <x:v>15900</x:v>
      </x:c>
      <x:c r="H609" s="54" t="n">
        <x:v>381600</x:v>
      </x:c>
      <x:c r="I609" s="54" t="n">
        <x:f>IF(AND(ISNUMBER(F609),ISNUMBER(G609)),ROUND(F609*G609,0),H609)</x:f>
        <x:v>381600</x:v>
      </x:c>
      <x:c r="J609" s="54" t="n">
        <x:f>I609-H609</x:f>
        <x:v>0</x:v>
      </x:c>
      <x:c r="K609" s="51" t="str">
        <x:v>Материал/тоноглол</x:v>
      </x:c>
      <x:c r="L609" s="51" t="str">
        <x:f>IF(J609=0,"OK","Шалгах")</x:f>
        <x:v>OK</x:v>
      </x:c>
      <x:c r="M609" s="51" t="str">
        <x:v>Узель</x:v>
      </x:c>
      <x:c r="N609" s="51" t="n">
        <x:v>91</x:v>
      </x:c>
    </x:row>
    <x:row r="610">
      <x:c r="A610" s="51" t="str">
        <x:v>MAT-6R-0596</x:v>
      </x:c>
      <x:c r="B610" s="52" t="str">
        <x:v>Дулааны узель</x:v>
      </x:c>
      <x:c r="C610" s="52" t="str">
        <x:v>соленойд</x:v>
      </x:c>
      <x:c r="D610" s="52" t="str">
        <x:v>Цахилгаан соронзон клапан</x:v>
      </x:c>
      <x:c r="E610" s="52" t="str">
        <x:v>ш</x:v>
      </x:c>
      <x:c r="F610" s="53" t="n">
        <x:v>1</x:v>
      </x:c>
      <x:c r="G610" s="54" t="n">
        <x:v>70000</x:v>
      </x:c>
      <x:c r="H610" s="54" t="n">
        <x:v>70000</x:v>
      </x:c>
      <x:c r="I610" s="54" t="n">
        <x:f>IF(AND(ISNUMBER(F610),ISNUMBER(G610)),ROUND(F610*G610,0),H610)</x:f>
        <x:v>70000</x:v>
      </x:c>
      <x:c r="J610" s="54" t="n">
        <x:f>I610-H610</x:f>
        <x:v>0</x:v>
      </x:c>
      <x:c r="K610" s="51" t="str">
        <x:v>Материал/тоноглол</x:v>
      </x:c>
      <x:c r="L610" s="51" t="str">
        <x:f>IF(J610=0,"OK","Шалгах")</x:f>
        <x:v>OK</x:v>
      </x:c>
      <x:c r="M610" s="51" t="str">
        <x:v>Узель</x:v>
      </x:c>
      <x:c r="N610" s="51" t="n">
        <x:v>92</x:v>
      </x:c>
    </x:row>
    <x:row r="611">
      <x:c r="A611" s="51" t="str">
        <x:v>MAT-6R-0597</x:v>
      </x:c>
      <x:c r="B611" s="52" t="str">
        <x:v>Дулааны узель</x:v>
      </x:c>
      <x:c r="C611" s="52" t="str">
        <x:v>Давтамж хувиргуур</x:v>
      </x:c>
      <x:c r="D611" s="52" t="str"/>
      <x:c r="E611" s="52" t="str">
        <x:v>ш</x:v>
      </x:c>
      <x:c r="F611" s="53" t="n">
        <x:v>1</x:v>
      </x:c>
      <x:c r="G611" s="54" t="n">
        <x:v>1500000</x:v>
      </x:c>
      <x:c r="H611" s="54" t="n">
        <x:v>1500000</x:v>
      </x:c>
      <x:c r="I611" s="54" t="n">
        <x:f>IF(AND(ISNUMBER(F611),ISNUMBER(G611)),ROUND(F611*G611,0),H611)</x:f>
        <x:v>1500000</x:v>
      </x:c>
      <x:c r="J611" s="54" t="n">
        <x:f>I611-H611</x:f>
        <x:v>0</x:v>
      </x:c>
      <x:c r="K611" s="51" t="str">
        <x:v>Материал/тоноглол</x:v>
      </x:c>
      <x:c r="L611" s="51" t="str">
        <x:f>IF(J611=0,"OK","Шалгах")</x:f>
        <x:v>OK</x:v>
      </x:c>
      <x:c r="M611" s="51" t="str">
        <x:v>Узель</x:v>
      </x:c>
      <x:c r="N611" s="51" t="n">
        <x:v>93</x:v>
      </x:c>
    </x:row>
    <x:row r="612">
      <x:c r="A612" s="51" t="str">
        <x:v>MAT-6R-0598</x:v>
      </x:c>
      <x:c r="B612" s="52" t="str">
        <x:v>ЦАХИЛГААНЫ САМБАР</x:v>
      </x:c>
      <x:c r="C612" s="52" t="str">
        <x:v>Тоноглох төмөр самбар</x:v>
      </x:c>
      <x:c r="D612" s="52" t="str">
        <x:v>1600х800х400 мм</x:v>
      </x:c>
      <x:c r="E612" s="52" t="str"/>
      <x:c r="F612" s="53" t="n">
        <x:v>1</x:v>
      </x:c>
      <x:c r="G612" s="54" t="n">
        <x:v>983250</x:v>
      </x:c>
      <x:c r="H612" s="54" t="n">
        <x:v>983250</x:v>
      </x:c>
      <x:c r="I612" s="54" t="n">
        <x:f>IF(AND(ISNUMBER(F612),ISNUMBER(G612)),ROUND(F612*G612,0),H612)</x:f>
        <x:v>983250</x:v>
      </x:c>
      <x:c r="J612" s="54" t="n">
        <x:f>I612-H612</x:f>
        <x:v>0</x:v>
      </x:c>
      <x:c r="K612" s="51" t="str">
        <x:v>Багцын задаргаа</x:v>
      </x:c>
      <x:c r="L612" s="51" t="str">
        <x:f>IF(J612=0,"OK","Шалгах")</x:f>
        <x:v>OK</x:v>
      </x:c>
      <x:c r="M612" s="51" t="str">
        <x:v>Цахилгаан</x:v>
      </x:c>
      <x:c r="N612" s="51" t="n">
        <x:v>6</x:v>
      </x:c>
    </x:row>
    <x:row r="613">
      <x:c r="A613" s="51" t="str">
        <x:v>MAT-6R-0599</x:v>
      </x:c>
      <x:c r="B613" s="52" t="str">
        <x:v>ЦАХИЛГААНЫ САМБАР</x:v>
      </x:c>
      <x:c r="C613" s="52" t="str">
        <x:v>Сэлгэн залгагч 400в, 50Гц</x:v>
      </x:c>
      <x:c r="D613" s="52" t="str">
        <x:v>BP-500А</x:v>
      </x:c>
      <x:c r="E613" s="52" t="str">
        <x:v>ш</x:v>
      </x:c>
      <x:c r="F613" s="53" t="n">
        <x:v>1</x:v>
      </x:c>
      <x:c r="G613" s="54" t="n">
        <x:v>313380</x:v>
      </x:c>
      <x:c r="H613" s="54" t="n">
        <x:v>313380</x:v>
      </x:c>
      <x:c r="I613" s="54" t="n">
        <x:f>IF(AND(ISNUMBER(F613),ISNUMBER(G613)),ROUND(F613*G613,0),H613)</x:f>
        <x:v>313380</x:v>
      </x:c>
      <x:c r="J613" s="54" t="n">
        <x:f>I613-H613</x:f>
        <x:v>0</x:v>
      </x:c>
      <x:c r="K613" s="51" t="str">
        <x:v>Багцын задаргаа</x:v>
      </x:c>
      <x:c r="L613" s="51" t="str">
        <x:f>IF(J613=0,"OK","Шалгах")</x:f>
        <x:v>OK</x:v>
      </x:c>
      <x:c r="M613" s="51" t="str">
        <x:v>Цахилгаан</x:v>
      </x:c>
      <x:c r="N613" s="51" t="n">
        <x:v>7</x:v>
      </x:c>
    </x:row>
    <x:row r="614">
      <x:c r="A614" s="51" t="str">
        <x:v>MAT-6R-0600</x:v>
      </x:c>
      <x:c r="B614" s="52" t="str">
        <x:v>ЦАХИЛГААНЫ САМБАР</x:v>
      </x:c>
      <x:c r="C614" s="52" t="str">
        <x:v>Хэт хүчдэл хязгаарлагч</x:v>
      </x:c>
      <x:c r="D614" s="52" t="str">
        <x:v>ОПС1-В-4Р</x:v>
      </x:c>
      <x:c r="E614" s="52" t="str">
        <x:v>ш</x:v>
      </x:c>
      <x:c r="F614" s="53" t="n">
        <x:v>1</x:v>
      </x:c>
      <x:c r="G614" s="54" t="n">
        <x:v>234000</x:v>
      </x:c>
      <x:c r="H614" s="54" t="n">
        <x:v>234000</x:v>
      </x:c>
      <x:c r="I614" s="54" t="n">
        <x:f>IF(AND(ISNUMBER(F614),ISNUMBER(G614)),ROUND(F614*G614,0),H614)</x:f>
        <x:v>234000</x:v>
      </x:c>
      <x:c r="J614" s="54" t="n">
        <x:f>I614-H614</x:f>
        <x:v>0</x:v>
      </x:c>
      <x:c r="K614" s="51" t="str">
        <x:v>Багцын задаргаа</x:v>
      </x:c>
      <x:c r="L614" s="51" t="str">
        <x:f>IF(J614=0,"OK","Шалгах")</x:f>
        <x:v>OK</x:v>
      </x:c>
      <x:c r="M614" s="51" t="str">
        <x:v>Цахилгаан</x:v>
      </x:c>
      <x:c r="N614" s="51" t="n">
        <x:v>8</x:v>
      </x:c>
    </x:row>
    <x:row r="615">
      <x:c r="A615" s="51" t="str">
        <x:v>MAT-6R-0601</x:v>
      </x:c>
      <x:c r="B615" s="52" t="str">
        <x:v>ЦАХИЛГААНЫ САМБАР</x:v>
      </x:c>
      <x:c r="C615" s="52" t="str">
        <x:v>ВА47.29.4Р шугамын автомат, характристика С</x:v>
      </x:c>
      <x:c r="D615" s="52" t="str">
        <x:v>63А</x:v>
      </x:c>
      <x:c r="E615" s="52" t="str">
        <x:v>комп</x:v>
      </x:c>
      <x:c r="F615" s="53"/>
      <x:c r="G615" s="54" t="n">
        <x:v>17190</x:v>
      </x:c>
      <x:c r="H615" s="54" t="n">
        <x:v>0</x:v>
      </x:c>
      <x:c r="I615" s="54" t="n">
        <x:f>IF(AND(ISNUMBER(F615),ISNUMBER(G615)),ROUND(F615*G615,0),H615)</x:f>
        <x:v>0</x:v>
      </x:c>
      <x:c r="J615" s="54" t="n">
        <x:f>I615-H615</x:f>
        <x:v>0</x:v>
      </x:c>
      <x:c r="K615" s="51" t="str">
        <x:v>Багцын задаргаа</x:v>
      </x:c>
      <x:c r="L615" s="51" t="str">
        <x:f>IF(J615=0,"OK","Шалгах")</x:f>
        <x:v>OK</x:v>
      </x:c>
      <x:c r="M615" s="51" t="str">
        <x:v>Цахилгаан</x:v>
      </x:c>
      <x:c r="N615" s="51" t="n">
        <x:v>9</x:v>
      </x:c>
    </x:row>
    <x:row r="616">
      <x:c r="A616" s="51" t="str">
        <x:v>MAT-6R-0602</x:v>
      </x:c>
      <x:c r="B616" s="52" t="str">
        <x:v>ЦАХИЛГААНЫ САМБАР</x:v>
      </x:c>
      <x:c r="C616" s="52" t="str">
        <x:v>Дохионы гэрэл</x:v>
      </x:c>
      <x:c r="D616" s="52" t="str">
        <x:v>HL 1</x:v>
      </x:c>
      <x:c r="E616" s="52" t="str">
        <x:v>ш</x:v>
      </x:c>
      <x:c r="F616" s="53" t="n">
        <x:v>3</x:v>
      </x:c>
      <x:c r="G616" s="54" t="n">
        <x:v>3510</x:v>
      </x:c>
      <x:c r="H616" s="54" t="n">
        <x:v>10530</x:v>
      </x:c>
      <x:c r="I616" s="54" t="n">
        <x:f>IF(AND(ISNUMBER(F616),ISNUMBER(G616)),ROUND(F616*G616,0),H616)</x:f>
        <x:v>10530</x:v>
      </x:c>
      <x:c r="J616" s="54" t="n">
        <x:f>I616-H616</x:f>
        <x:v>0</x:v>
      </x:c>
      <x:c r="K616" s="51" t="str">
        <x:v>Багцын задаргаа</x:v>
      </x:c>
      <x:c r="L616" s="51" t="str">
        <x:f>IF(J616=0,"OK","Шалгах")</x:f>
        <x:v>OK</x:v>
      </x:c>
      <x:c r="M616" s="51" t="str">
        <x:v>Цахилгаан</x:v>
      </x:c>
      <x:c r="N616" s="51" t="n">
        <x:v>10</x:v>
      </x:c>
    </x:row>
    <x:row r="617">
      <x:c r="A617" s="51" t="str">
        <x:v>MAT-6R-0603</x:v>
      </x:c>
      <x:c r="B617" s="52" t="str">
        <x:v>ЦАХИЛГААНЫ САМБАР</x:v>
      </x:c>
      <x:c r="C617" s="52" t="str">
        <x:v>Гүйдлийн трансформатор</x:v>
      </x:c>
      <x:c r="D617" s="52" t="str">
        <x:v>300/5А</x:v>
      </x:c>
      <x:c r="E617" s="52" t="str">
        <x:v>комп</x:v>
      </x:c>
      <x:c r="F617" s="53" t="n">
        <x:v>9</x:v>
      </x:c>
      <x:c r="G617" s="54" t="n">
        <x:v>35910</x:v>
      </x:c>
      <x:c r="H617" s="54" t="n">
        <x:v>323190</x:v>
      </x:c>
      <x:c r="I617" s="54" t="n">
        <x:f>IF(AND(ISNUMBER(F617),ISNUMBER(G617)),ROUND(F617*G617,0),H617)</x:f>
        <x:v>323190</x:v>
      </x:c>
      <x:c r="J617" s="54" t="n">
        <x:f>I617-H617</x:f>
        <x:v>0</x:v>
      </x:c>
      <x:c r="K617" s="51" t="str">
        <x:v>Багцын задаргаа</x:v>
      </x:c>
      <x:c r="L617" s="51" t="str">
        <x:f>IF(J617=0,"OK","Шалгах")</x:f>
        <x:v>OK</x:v>
      </x:c>
      <x:c r="M617" s="51" t="str">
        <x:v>Цахилгаан</x:v>
      </x:c>
      <x:c r="N617" s="51" t="n">
        <x:v>11</x:v>
      </x:c>
    </x:row>
    <x:row r="618">
      <x:c r="A618" s="51" t="str">
        <x:v>MAT-6R-0604</x:v>
      </x:c>
      <x:c r="B618" s="52" t="str">
        <x:v>ЦАХИЛГААНЫ САМБАР</x:v>
      </x:c>
      <x:c r="C618" s="52" t="str">
        <x:v>3 фазын шугамын автомат</x:v>
      </x:c>
      <x:c r="D618" s="52" t="str">
        <x:v>ВА88.35.3P-250А</x:v>
      </x:c>
      <x:c r="E618" s="52" t="str">
        <x:v>ш</x:v>
      </x:c>
      <x:c r="F618" s="53" t="n">
        <x:v>1</x:v>
      </x:c>
      <x:c r="G618" s="54" t="n">
        <x:v>201420</x:v>
      </x:c>
      <x:c r="H618" s="54" t="n">
        <x:v>201420</x:v>
      </x:c>
      <x:c r="I618" s="54" t="n">
        <x:f>IF(AND(ISNUMBER(F618),ISNUMBER(G618)),ROUND(F618*G618,0),H618)</x:f>
        <x:v>201420</x:v>
      </x:c>
      <x:c r="J618" s="54" t="n">
        <x:f>I618-H618</x:f>
        <x:v>0</x:v>
      </x:c>
      <x:c r="K618" s="51" t="str">
        <x:v>Багцын задаргаа</x:v>
      </x:c>
      <x:c r="L618" s="51" t="str">
        <x:f>IF(J618=0,"OK","Шалгах")</x:f>
        <x:v>OK</x:v>
      </x:c>
      <x:c r="M618" s="51" t="str">
        <x:v>Цахилгаан</x:v>
      </x:c>
      <x:c r="N618" s="51" t="n">
        <x:v>12</x:v>
      </x:c>
    </x:row>
    <x:row r="619">
      <x:c r="A619" s="51" t="str">
        <x:v>MAT-6R-0605</x:v>
      </x:c>
      <x:c r="B619" s="52" t="str">
        <x:v>ЦАХИЛГААНЫ САМБАР</x:v>
      </x:c>
      <x:c r="C619" s="52" t="str">
        <x:v>ВА47.29.4Р шугамын автомат, характристика В</x:v>
      </x:c>
      <x:c r="D619" s="52" t="str">
        <x:v>3А</x:v>
      </x:c>
      <x:c r="E619" s="52" t="str">
        <x:v>ш</x:v>
      </x:c>
      <x:c r="F619" s="53" t="n">
        <x:v>3</x:v>
      </x:c>
      <x:c r="G619" s="54" t="n">
        <x:v>17190</x:v>
      </x:c>
      <x:c r="H619" s="54" t="n">
        <x:v>51570</x:v>
      </x:c>
      <x:c r="I619" s="54" t="n">
        <x:f>IF(AND(ISNUMBER(F619),ISNUMBER(G619)),ROUND(F619*G619,0),H619)</x:f>
        <x:v>51570</x:v>
      </x:c>
      <x:c r="J619" s="54" t="n">
        <x:f>I619-H619</x:f>
        <x:v>0</x:v>
      </x:c>
      <x:c r="K619" s="51" t="str">
        <x:v>Багцын задаргаа</x:v>
      </x:c>
      <x:c r="L619" s="51" t="str">
        <x:f>IF(J619=0,"OK","Шалгах")</x:f>
        <x:v>OK</x:v>
      </x:c>
      <x:c r="M619" s="51" t="str">
        <x:v>Цахилгаан</x:v>
      </x:c>
      <x:c r="N619" s="51" t="n">
        <x:v>13</x:v>
      </x:c>
    </x:row>
    <x:row r="620">
      <x:c r="A620" s="51" t="str">
        <x:v>MAT-6R-0606</x:v>
      </x:c>
      <x:c r="B620" s="52" t="str">
        <x:v>ЦАХИЛГААНЫ САМБАР</x:v>
      </x:c>
      <x:c r="C620" s="52" t="str">
        <x:v>3 фазын шугамын автомат</x:v>
      </x:c>
      <x:c r="D620" s="52" t="str">
        <x:v>ВА88.33.3P-125А</x:v>
      </x:c>
      <x:c r="E620" s="52" t="str">
        <x:v>ш</x:v>
      </x:c>
      <x:c r="F620" s="53" t="n">
        <x:v>4</x:v>
      </x:c>
      <x:c r="G620" s="54" t="n">
        <x:v>96930</x:v>
      </x:c>
      <x:c r="H620" s="54" t="n">
        <x:v>387720</x:v>
      </x:c>
      <x:c r="I620" s="54" t="n">
        <x:f>IF(AND(ISNUMBER(F620),ISNUMBER(G620)),ROUND(F620*G620,0),H620)</x:f>
        <x:v>387720</x:v>
      </x:c>
      <x:c r="J620" s="54" t="n">
        <x:f>I620-H620</x:f>
        <x:v>0</x:v>
      </x:c>
      <x:c r="K620" s="51" t="str">
        <x:v>Багцын задаргаа</x:v>
      </x:c>
      <x:c r="L620" s="51" t="str">
        <x:f>IF(J620=0,"OK","Шалгах")</x:f>
        <x:v>OK</x:v>
      </x:c>
      <x:c r="M620" s="51" t="str">
        <x:v>Цахилгаан</x:v>
      </x:c>
      <x:c r="N620" s="51" t="n">
        <x:v>14</x:v>
      </x:c>
    </x:row>
    <x:row r="621">
      <x:c r="A621" s="51" t="str">
        <x:v>MAT-6R-0607</x:v>
      </x:c>
      <x:c r="B621" s="52" t="str">
        <x:v>ЦАХИЛГААНЫ САМБАР</x:v>
      </x:c>
      <x:c r="C621" s="52" t="str">
        <x:v>3 фазын шугамын автомат</x:v>
      </x:c>
      <x:c r="D621" s="52" t="str">
        <x:v>ВА88.33.3P-80А</x:v>
      </x:c>
      <x:c r="E621" s="52" t="str">
        <x:v>ш</x:v>
      </x:c>
      <x:c r="F621" s="53" t="n">
        <x:v>1</x:v>
      </x:c>
      <x:c r="G621" s="54" t="n">
        <x:v>95760</x:v>
      </x:c>
      <x:c r="H621" s="54" t="n">
        <x:v>95760</x:v>
      </x:c>
      <x:c r="I621" s="54" t="n">
        <x:f>IF(AND(ISNUMBER(F621),ISNUMBER(G621)),ROUND(F621*G621,0),H621)</x:f>
        <x:v>95760</x:v>
      </x:c>
      <x:c r="J621" s="54" t="n">
        <x:f>I621-H621</x:f>
        <x:v>0</x:v>
      </x:c>
      <x:c r="K621" s="51" t="str">
        <x:v>Багцын задаргаа</x:v>
      </x:c>
      <x:c r="L621" s="51" t="str">
        <x:f>IF(J621=0,"OK","Шалгах")</x:f>
        <x:v>OK</x:v>
      </x:c>
      <x:c r="M621" s="51" t="str">
        <x:v>Цахилгаан</x:v>
      </x:c>
      <x:c r="N621" s="51" t="n">
        <x:v>15</x:v>
      </x:c>
    </x:row>
    <x:row r="622">
      <x:c r="A622" s="51" t="str">
        <x:v>MAT-6R-0608</x:v>
      </x:c>
      <x:c r="B622" s="52" t="str">
        <x:v>ЦАХИЛГААНЫ САМБАР</x:v>
      </x:c>
      <x:c r="C622" s="52" t="str">
        <x:v>Хэмжүүрийн хэлхээний удирдлагын солиур залгуур</x:v>
      </x:c>
      <x:c r="D622" s="52" t="str"/>
      <x:c r="E622" s="52" t="str">
        <x:v>ш</x:v>
      </x:c>
      <x:c r="F622" s="53" t="n">
        <x:v>2</x:v>
      </x:c>
      <x:c r="G622" s="54" t="n">
        <x:v>85595</x:v>
      </x:c>
      <x:c r="H622" s="54" t="n">
        <x:v>85595</x:v>
      </x:c>
      <x:c r="I622" s="54" t="n">
        <x:f>IF(AND(ISNUMBER(F622),ISNUMBER(G622)),ROUND(F622*G622,0),H622)</x:f>
        <x:v>171190</x:v>
      </x:c>
      <x:c r="J622" s="54" t="n">
        <x:f>I622-H622</x:f>
        <x:v>85595</x:v>
      </x:c>
      <x:c r="K622" s="51" t="str">
        <x:v>Багцын задаргаа</x:v>
      </x:c>
      <x:c r="L622" s="51" t="str">
        <x:f>IF(J622=0,"OK","Шалгах")</x:f>
        <x:v>Шалгах</x:v>
      </x:c>
      <x:c r="M622" s="51" t="str">
        <x:v>Цахилгаан</x:v>
      </x:c>
      <x:c r="N622" s="51" t="n">
        <x:v>16</x:v>
      </x:c>
    </x:row>
    <x:row r="623">
      <x:c r="A623" s="51" t="str">
        <x:v>MAT-6R-0609</x:v>
      </x:c>
      <x:c r="B623" s="52" t="str">
        <x:v>ЦАХИЛГААНЫ САМБАР</x:v>
      </x:c>
      <x:c r="C623" s="52" t="str">
        <x:v>Гүйдэл хэмжигч электрон</x:v>
      </x:c>
      <x:c r="D623" s="52" t="str">
        <x:v>Амперметр</x:v>
      </x:c>
      <x:c r="E623" s="52" t="str">
        <x:v>ш</x:v>
      </x:c>
      <x:c r="F623" s="53" t="n">
        <x:v>1</x:v>
      </x:c>
      <x:c r="G623" s="54"/>
      <x:c r="H623" s="54" t="n">
        <x:v>0</x:v>
      </x:c>
      <x:c r="I623" s="54" t="n">
        <x:f>IF(AND(ISNUMBER(F623),ISNUMBER(G623)),ROUND(F623*G623,0),H623)</x:f>
        <x:v>0</x:v>
      </x:c>
      <x:c r="J623" s="54" t="n">
        <x:f>I623-H623</x:f>
        <x:v>0</x:v>
      </x:c>
      <x:c r="K623" s="51" t="str">
        <x:v>Багцын задаргаа</x:v>
      </x:c>
      <x:c r="L623" s="51" t="str">
        <x:f>IF(J623=0,"OK","Шалгах")</x:f>
        <x:v>OK</x:v>
      </x:c>
      <x:c r="M623" s="51" t="str">
        <x:v>Цахилгаан</x:v>
      </x:c>
      <x:c r="N623" s="51" t="n">
        <x:v>17</x:v>
      </x:c>
    </x:row>
    <x:row r="624">
      <x:c r="A624" s="51" t="str">
        <x:v>MAT-6R-0610</x:v>
      </x:c>
      <x:c r="B624" s="52" t="str">
        <x:v>ЦАХИЛГААНЫ САМБАР</x:v>
      </x:c>
      <x:c r="C624" s="52" t="str">
        <x:v>Хүчдэл хэмжигч электрон</x:v>
      </x:c>
      <x:c r="D624" s="52" t="str">
        <x:v>Вольтметр</x:v>
      </x:c>
      <x:c r="E624" s="52" t="str">
        <x:v>ш</x:v>
      </x:c>
      <x:c r="F624" s="53" t="n">
        <x:v>1</x:v>
      </x:c>
      <x:c r="G624" s="54"/>
      <x:c r="H624" s="54" t="n">
        <x:v>0</x:v>
      </x:c>
      <x:c r="I624" s="54" t="n">
        <x:f>IF(AND(ISNUMBER(F624),ISNUMBER(G624)),ROUND(F624*G624,0),H624)</x:f>
        <x:v>0</x:v>
      </x:c>
      <x:c r="J624" s="54" t="n">
        <x:f>I624-H624</x:f>
        <x:v>0</x:v>
      </x:c>
      <x:c r="K624" s="51" t="str">
        <x:v>Багцын задаргаа</x:v>
      </x:c>
      <x:c r="L624" s="51" t="str">
        <x:f>IF(J624=0,"OK","Шалгах")</x:f>
        <x:v>OK</x:v>
      </x:c>
      <x:c r="M624" s="51" t="str">
        <x:v>Цахилгаан</x:v>
      </x:c>
      <x:c r="N624" s="51" t="n">
        <x:v>18</x:v>
      </x:c>
    </x:row>
    <x:row r="625">
      <x:c r="A625" s="51" t="str">
        <x:v>MAT-6R-0611</x:v>
      </x:c>
      <x:c r="B625" s="52" t="str">
        <x:v>ЦАХИЛГААНЫ САМБАР</x:v>
      </x:c>
      <x:c r="C625" s="52" t="str">
        <x:v>Фазын шин, N, PE-ын шин</x:v>
      </x:c>
      <x:c r="D625" s="52" t="str">
        <x:v>630А</x:v>
      </x:c>
      <x:c r="E625" s="52" t="str">
        <x:v>комп</x:v>
      </x:c>
      <x:c r="F625" s="53" t="n">
        <x:v>1</x:v>
      </x:c>
      <x:c r="G625" s="54" t="n">
        <x:v>10500</x:v>
      </x:c>
      <x:c r="H625" s="54" t="n">
        <x:v>10500</x:v>
      </x:c>
      <x:c r="I625" s="54" t="n">
        <x:f>IF(AND(ISNUMBER(F625),ISNUMBER(G625)),ROUND(F625*G625,0),H625)</x:f>
        <x:v>10500</x:v>
      </x:c>
      <x:c r="J625" s="54" t="n">
        <x:f>I625-H625</x:f>
        <x:v>0</x:v>
      </x:c>
      <x:c r="K625" s="51" t="str">
        <x:v>Багцын задаргаа</x:v>
      </x:c>
      <x:c r="L625" s="51" t="str">
        <x:f>IF(J625=0,"OK","Шалгах")</x:f>
        <x:v>OK</x:v>
      </x:c>
      <x:c r="M625" s="51" t="str">
        <x:v>Цахилгаан</x:v>
      </x:c>
      <x:c r="N625" s="51" t="n">
        <x:v>19</x:v>
      </x:c>
    </x:row>
    <x:row r="626">
      <x:c r="A626" s="51" t="str">
        <x:v>MAT-6R-0612</x:v>
      </x:c>
      <x:c r="B626" s="52" t="str">
        <x:v>ЦАХИЛГААНЫ САМБАР</x:v>
      </x:c>
      <x:c r="C626" s="52" t="str">
        <x:v>ШИН</x:v>
      </x:c>
      <x:c r="D626" s="52" t="str"/>
      <x:c r="E626" s="52" t="str">
        <x:v>М</x:v>
      </x:c>
      <x:c r="F626" s="53" t="n">
        <x:v>1</x:v>
      </x:c>
      <x:c r="G626" s="54" t="n">
        <x:v>10500</x:v>
      </x:c>
      <x:c r="H626" s="54" t="n">
        <x:v>10500</x:v>
      </x:c>
      <x:c r="I626" s="54" t="n">
        <x:f>IF(AND(ISNUMBER(F626),ISNUMBER(G626)),ROUND(F626*G626,0),H626)</x:f>
        <x:v>10500</x:v>
      </x:c>
      <x:c r="J626" s="54" t="n">
        <x:f>I626-H626</x:f>
        <x:v>0</x:v>
      </x:c>
      <x:c r="K626" s="51" t="str">
        <x:v>Багцын задаргаа</x:v>
      </x:c>
      <x:c r="L626" s="51" t="str">
        <x:f>IF(J626=0,"OK","Шалгах")</x:f>
        <x:v>OK</x:v>
      </x:c>
      <x:c r="M626" s="51" t="str">
        <x:v>Цахилгаан</x:v>
      </x:c>
      <x:c r="N626" s="51" t="n">
        <x:v>20</x:v>
      </x:c>
    </x:row>
    <x:row r="627">
      <x:c r="A627" s="51" t="str">
        <x:v>MAT-6R-0613</x:v>
      </x:c>
      <x:c r="B627" s="52" t="str">
        <x:v>ЦАХИЛГААНЫ САМБАР</x:v>
      </x:c>
      <x:c r="C627" s="52" t="str">
        <x:v>BBKIT</x:v>
      </x:c>
      <x:c r="D627" s="52" t="str"/>
      <x:c r="E627" s="52" t="str">
        <x:v>ш</x:v>
      </x:c>
      <x:c r="F627" s="53" t="n">
        <x:v>3</x:v>
      </x:c>
      <x:c r="G627" s="54" t="n">
        <x:v>1800</x:v>
      </x:c>
      <x:c r="H627" s="54" t="n">
        <x:v>5400</x:v>
      </x:c>
      <x:c r="I627" s="54" t="n">
        <x:f>IF(AND(ISNUMBER(F627),ISNUMBER(G627)),ROUND(F627*G627,0),H627)</x:f>
        <x:v>5400</x:v>
      </x:c>
      <x:c r="J627" s="54" t="n">
        <x:f>I627-H627</x:f>
        <x:v>0</x:v>
      </x:c>
      <x:c r="K627" s="51" t="str">
        <x:v>Багцын задаргаа</x:v>
      </x:c>
      <x:c r="L627" s="51" t="str">
        <x:f>IF(J627=0,"OK","Шалгах")</x:f>
        <x:v>OK</x:v>
      </x:c>
      <x:c r="M627" s="51" t="str">
        <x:v>Цахилгаан</x:v>
      </x:c>
      <x:c r="N627" s="51" t="n">
        <x:v>21</x:v>
      </x:c>
    </x:row>
    <x:row r="628">
      <x:c r="A628" s="51" t="str">
        <x:v>MAT-6R-0614</x:v>
      </x:c>
      <x:c r="B628" s="52" t="str">
        <x:v>ЦАХИЛГААНЫ САМБАР</x:v>
      </x:c>
      <x:c r="C628" s="52" t="str">
        <x:v>Тоноглох төмөр самбар</x:v>
      </x:c>
      <x:c r="D628" s="52" t="str">
        <x:v>1600х800х400 мм</x:v>
      </x:c>
      <x:c r="E628" s="52" t="str"/>
      <x:c r="F628" s="53" t="n">
        <x:v>1</x:v>
      </x:c>
      <x:c r="G628" s="54" t="n">
        <x:v>983250</x:v>
      </x:c>
      <x:c r="H628" s="54" t="n">
        <x:v>983250</x:v>
      </x:c>
      <x:c r="I628" s="54" t="n">
        <x:f>IF(AND(ISNUMBER(F628),ISNUMBER(G628)),ROUND(F628*G628,0),H628)</x:f>
        <x:v>983250</x:v>
      </x:c>
      <x:c r="J628" s="54" t="n">
        <x:f>I628-H628</x:f>
        <x:v>0</x:v>
      </x:c>
      <x:c r="K628" s="51" t="str">
        <x:v>Багцын задаргаа</x:v>
      </x:c>
      <x:c r="L628" s="51" t="str">
        <x:f>IF(J628=0,"OK","Шалгах")</x:f>
        <x:v>OK</x:v>
      </x:c>
      <x:c r="M628" s="51" t="str">
        <x:v>Цахилгаан</x:v>
      </x:c>
      <x:c r="N628" s="51" t="n">
        <x:v>23</x:v>
      </x:c>
    </x:row>
    <x:row r="629">
      <x:c r="A629" s="51" t="str">
        <x:v>MAT-6R-0615</x:v>
      </x:c>
      <x:c r="B629" s="52" t="str">
        <x:v>ЦАХИЛГААНЫ САМБАР</x:v>
      </x:c>
      <x:c r="C629" s="52" t="str">
        <x:v>Сэлгэн залгагч 400в, 50Гц</x:v>
      </x:c>
      <x:c r="D629" s="52" t="str">
        <x:v>ВР-500А</x:v>
      </x:c>
      <x:c r="E629" s="52" t="str">
        <x:v>ш</x:v>
      </x:c>
      <x:c r="F629" s="53" t="n">
        <x:v>1</x:v>
      </x:c>
      <x:c r="G629" s="54" t="n">
        <x:v>313380</x:v>
      </x:c>
      <x:c r="H629" s="54" t="n">
        <x:v>313380</x:v>
      </x:c>
      <x:c r="I629" s="54" t="n">
        <x:f>IF(AND(ISNUMBER(F629),ISNUMBER(G629)),ROUND(F629*G629,0),H629)</x:f>
        <x:v>313380</x:v>
      </x:c>
      <x:c r="J629" s="54" t="n">
        <x:f>I629-H629</x:f>
        <x:v>0</x:v>
      </x:c>
      <x:c r="K629" s="51" t="str">
        <x:v>Багцын задаргаа</x:v>
      </x:c>
      <x:c r="L629" s="51" t="str">
        <x:f>IF(J629=0,"OK","Шалгах")</x:f>
        <x:v>OK</x:v>
      </x:c>
      <x:c r="M629" s="51" t="str">
        <x:v>Цахилгаан</x:v>
      </x:c>
      <x:c r="N629" s="51" t="n">
        <x:v>24</x:v>
      </x:c>
    </x:row>
    <x:row r="630">
      <x:c r="A630" s="51" t="str">
        <x:v>MAT-6R-0616</x:v>
      </x:c>
      <x:c r="B630" s="52" t="str">
        <x:v>ЦАХИЛГААНЫ САМБАР</x:v>
      </x:c>
      <x:c r="C630" s="52" t="str">
        <x:v>Хэт хүчдэл хязгаарлагч</x:v>
      </x:c>
      <x:c r="D630" s="52" t="str">
        <x:v>ОПС1-В-4Р</x:v>
      </x:c>
      <x:c r="E630" s="52" t="str">
        <x:v>ш</x:v>
      </x:c>
      <x:c r="F630" s="53" t="n">
        <x:v>1</x:v>
      </x:c>
      <x:c r="G630" s="54" t="n">
        <x:v>234000</x:v>
      </x:c>
      <x:c r="H630" s="54" t="n">
        <x:v>234000</x:v>
      </x:c>
      <x:c r="I630" s="54" t="n">
        <x:f>IF(AND(ISNUMBER(F630),ISNUMBER(G630)),ROUND(F630*G630,0),H630)</x:f>
        <x:v>234000</x:v>
      </x:c>
      <x:c r="J630" s="54" t="n">
        <x:f>I630-H630</x:f>
        <x:v>0</x:v>
      </x:c>
      <x:c r="K630" s="51" t="str">
        <x:v>Багцын задаргаа</x:v>
      </x:c>
      <x:c r="L630" s="51" t="str">
        <x:f>IF(J630=0,"OK","Шалгах")</x:f>
        <x:v>OK</x:v>
      </x:c>
      <x:c r="M630" s="51" t="str">
        <x:v>Цахилгаан</x:v>
      </x:c>
      <x:c r="N630" s="51" t="n">
        <x:v>25</x:v>
      </x:c>
    </x:row>
    <x:row r="631">
      <x:c r="A631" s="51" t="str">
        <x:v>MAT-6R-0617</x:v>
      </x:c>
      <x:c r="B631" s="52" t="str">
        <x:v>ЦАХИЛГААНЫ САМБАР</x:v>
      </x:c>
      <x:c r="C631" s="52" t="str">
        <x:v>ВА47.29.4Р шугамын автомат, характристика С</x:v>
      </x:c>
      <x:c r="D631" s="52" t="str">
        <x:v>63А</x:v>
      </x:c>
      <x:c r="E631" s="52" t="str">
        <x:v>комп</x:v>
      </x:c>
      <x:c r="F631" s="53" t="n">
        <x:v>1</x:v>
      </x:c>
      <x:c r="G631" s="54" t="n">
        <x:v>19620</x:v>
      </x:c>
      <x:c r="H631" s="54" t="n">
        <x:v>19620</x:v>
      </x:c>
      <x:c r="I631" s="54" t="n">
        <x:f>IF(AND(ISNUMBER(F631),ISNUMBER(G631)),ROUND(F631*G631,0),H631)</x:f>
        <x:v>19620</x:v>
      </x:c>
      <x:c r="J631" s="54" t="n">
        <x:f>I631-H631</x:f>
        <x:v>0</x:v>
      </x:c>
      <x:c r="K631" s="51" t="str">
        <x:v>Багцын задаргаа</x:v>
      </x:c>
      <x:c r="L631" s="51" t="str">
        <x:f>IF(J631=0,"OK","Шалгах")</x:f>
        <x:v>OK</x:v>
      </x:c>
      <x:c r="M631" s="51" t="str">
        <x:v>Цахилгаан</x:v>
      </x:c>
      <x:c r="N631" s="51" t="n">
        <x:v>26</x:v>
      </x:c>
    </x:row>
    <x:row r="632">
      <x:c r="A632" s="51" t="str">
        <x:v>MAT-6R-0618</x:v>
      </x:c>
      <x:c r="B632" s="52" t="str">
        <x:v>ЦАХИЛГААНЫ САМБАР</x:v>
      </x:c>
      <x:c r="C632" s="52" t="str">
        <x:v>Дохионы гэрэл</x:v>
      </x:c>
      <x:c r="D632" s="52" t="str">
        <x:v>HL 1</x:v>
      </x:c>
      <x:c r="E632" s="52" t="str">
        <x:v>ш</x:v>
      </x:c>
      <x:c r="F632" s="53" t="n">
        <x:v>3</x:v>
      </x:c>
      <x:c r="G632" s="54" t="n">
        <x:v>3510</x:v>
      </x:c>
      <x:c r="H632" s="54" t="n">
        <x:v>10530</x:v>
      </x:c>
      <x:c r="I632" s="54" t="n">
        <x:f>IF(AND(ISNUMBER(F632),ISNUMBER(G632)),ROUND(F632*G632,0),H632)</x:f>
        <x:v>10530</x:v>
      </x:c>
      <x:c r="J632" s="54" t="n">
        <x:f>I632-H632</x:f>
        <x:v>0</x:v>
      </x:c>
      <x:c r="K632" s="51" t="str">
        <x:v>Багцын задаргаа</x:v>
      </x:c>
      <x:c r="L632" s="51" t="str">
        <x:f>IF(J632=0,"OK","Шалгах")</x:f>
        <x:v>OK</x:v>
      </x:c>
      <x:c r="M632" s="51" t="str">
        <x:v>Цахилгаан</x:v>
      </x:c>
      <x:c r="N632" s="51" t="n">
        <x:v>27</x:v>
      </x:c>
    </x:row>
    <x:row r="633">
      <x:c r="A633" s="51" t="str">
        <x:v>MAT-6R-0619</x:v>
      </x:c>
      <x:c r="B633" s="52" t="str">
        <x:v>ЦАХИЛГААНЫ САМБАР</x:v>
      </x:c>
      <x:c r="C633" s="52" t="str">
        <x:v>Гүйдлийн трансформатор</x:v>
      </x:c>
      <x:c r="D633" s="52" t="str">
        <x:v>300/5А</x:v>
      </x:c>
      <x:c r="E633" s="52" t="str">
        <x:v>комп</x:v>
      </x:c>
      <x:c r="F633" s="53" t="n">
        <x:v>9</x:v>
      </x:c>
      <x:c r="G633" s="54" t="n">
        <x:v>35910</x:v>
      </x:c>
      <x:c r="H633" s="54" t="n">
        <x:v>323190</x:v>
      </x:c>
      <x:c r="I633" s="54" t="n">
        <x:f>IF(AND(ISNUMBER(F633),ISNUMBER(G633)),ROUND(F633*G633,0),H633)</x:f>
        <x:v>323190</x:v>
      </x:c>
      <x:c r="J633" s="54" t="n">
        <x:f>I633-H633</x:f>
        <x:v>0</x:v>
      </x:c>
      <x:c r="K633" s="51" t="str">
        <x:v>Багцын задаргаа</x:v>
      </x:c>
      <x:c r="L633" s="51" t="str">
        <x:f>IF(J633=0,"OK","Шалгах")</x:f>
        <x:v>OK</x:v>
      </x:c>
      <x:c r="M633" s="51" t="str">
        <x:v>Цахилгаан</x:v>
      </x:c>
      <x:c r="N633" s="51" t="n">
        <x:v>28</x:v>
      </x:c>
    </x:row>
    <x:row r="634">
      <x:c r="A634" s="51" t="str">
        <x:v>MAT-6R-0620</x:v>
      </x:c>
      <x:c r="B634" s="52" t="str">
        <x:v>ЦАХИЛГААНЫ САМБАР</x:v>
      </x:c>
      <x:c r="C634" s="52" t="str">
        <x:v>3 фазын шугамын автомат</x:v>
      </x:c>
      <x:c r="D634" s="52" t="str">
        <x:v>ВА88.35.3P-250А</x:v>
      </x:c>
      <x:c r="E634" s="52" t="str">
        <x:v>ш</x:v>
      </x:c>
      <x:c r="F634" s="53" t="n">
        <x:v>1</x:v>
      </x:c>
      <x:c r="G634" s="54" t="n">
        <x:v>201420</x:v>
      </x:c>
      <x:c r="H634" s="54" t="n">
        <x:v>201420</x:v>
      </x:c>
      <x:c r="I634" s="54" t="n">
        <x:f>IF(AND(ISNUMBER(F634),ISNUMBER(G634)),ROUND(F634*G634,0),H634)</x:f>
        <x:v>201420</x:v>
      </x:c>
      <x:c r="J634" s="54" t="n">
        <x:f>I634-H634</x:f>
        <x:v>0</x:v>
      </x:c>
      <x:c r="K634" s="51" t="str">
        <x:v>Багцын задаргаа</x:v>
      </x:c>
      <x:c r="L634" s="51" t="str">
        <x:f>IF(J634=0,"OK","Шалгах")</x:f>
        <x:v>OK</x:v>
      </x:c>
      <x:c r="M634" s="51" t="str">
        <x:v>Цахилгаан</x:v>
      </x:c>
      <x:c r="N634" s="51" t="n">
        <x:v>29</x:v>
      </x:c>
    </x:row>
    <x:row r="635">
      <x:c r="A635" s="51" t="str">
        <x:v>MAT-6R-0621</x:v>
      </x:c>
      <x:c r="B635" s="52" t="str">
        <x:v>ЦАХИЛГААНЫ САМБАР</x:v>
      </x:c>
      <x:c r="C635" s="52" t="str">
        <x:v>ВА47.29.4Р шугамын автомат, характристика В</x:v>
      </x:c>
      <x:c r="D635" s="52" t="str">
        <x:v>3А</x:v>
      </x:c>
      <x:c r="E635" s="52" t="str">
        <x:v>ш</x:v>
      </x:c>
      <x:c r="F635" s="53" t="n">
        <x:v>3</x:v>
      </x:c>
      <x:c r="G635" s="54" t="n">
        <x:v>17190</x:v>
      </x:c>
      <x:c r="H635" s="54" t="n">
        <x:v>51570</x:v>
      </x:c>
      <x:c r="I635" s="54" t="n">
        <x:f>IF(AND(ISNUMBER(F635),ISNUMBER(G635)),ROUND(F635*G635,0),H635)</x:f>
        <x:v>51570</x:v>
      </x:c>
      <x:c r="J635" s="54" t="n">
        <x:f>I635-H635</x:f>
        <x:v>0</x:v>
      </x:c>
      <x:c r="K635" s="51" t="str">
        <x:v>Багцын задаргаа</x:v>
      </x:c>
      <x:c r="L635" s="51" t="str">
        <x:f>IF(J635=0,"OK","Шалгах")</x:f>
        <x:v>OK</x:v>
      </x:c>
      <x:c r="M635" s="51" t="str">
        <x:v>Цахилгаан</x:v>
      </x:c>
      <x:c r="N635" s="51" t="n">
        <x:v>30</x:v>
      </x:c>
    </x:row>
    <x:row r="636">
      <x:c r="A636" s="51" t="str">
        <x:v>MAT-6R-0622</x:v>
      </x:c>
      <x:c r="B636" s="52" t="str">
        <x:v>ЦАХИЛГААНЫ САМБАР</x:v>
      </x:c>
      <x:c r="C636" s="52" t="str">
        <x:v>3 фазын шугамын автомат</x:v>
      </x:c>
      <x:c r="D636" s="52" t="str">
        <x:v>ВА88.33.3P-125А</x:v>
      </x:c>
      <x:c r="E636" s="52" t="str">
        <x:v>ш</x:v>
      </x:c>
      <x:c r="F636" s="53" t="n">
        <x:v>4</x:v>
      </x:c>
      <x:c r="G636" s="54" t="n">
        <x:v>96930</x:v>
      </x:c>
      <x:c r="H636" s="54" t="n">
        <x:v>387720</x:v>
      </x:c>
      <x:c r="I636" s="54" t="n">
        <x:f>IF(AND(ISNUMBER(F636),ISNUMBER(G636)),ROUND(F636*G636,0),H636)</x:f>
        <x:v>387720</x:v>
      </x:c>
      <x:c r="J636" s="54" t="n">
        <x:f>I636-H636</x:f>
        <x:v>0</x:v>
      </x:c>
      <x:c r="K636" s="51" t="str">
        <x:v>Багцын задаргаа</x:v>
      </x:c>
      <x:c r="L636" s="51" t="str">
        <x:f>IF(J636=0,"OK","Шалгах")</x:f>
        <x:v>OK</x:v>
      </x:c>
      <x:c r="M636" s="51" t="str">
        <x:v>Цахилгаан</x:v>
      </x:c>
      <x:c r="N636" s="51" t="n">
        <x:v>31</x:v>
      </x:c>
    </x:row>
    <x:row r="637">
      <x:c r="A637" s="51" t="str">
        <x:v>MAT-6R-0623</x:v>
      </x:c>
      <x:c r="B637" s="52" t="str">
        <x:v>ЦАХИЛГААНЫ САМБАР</x:v>
      </x:c>
      <x:c r="C637" s="52" t="str">
        <x:v>3 фазын шугамын автомат</x:v>
      </x:c>
      <x:c r="D637" s="52" t="str">
        <x:v>ВА88.33.3P-40А</x:v>
      </x:c>
      <x:c r="E637" s="52" t="str">
        <x:v>ш</x:v>
      </x:c>
      <x:c r="F637" s="53" t="n">
        <x:v>2</x:v>
      </x:c>
      <x:c r="G637" s="54" t="n">
        <x:v>5490</x:v>
      </x:c>
      <x:c r="H637" s="54" t="n">
        <x:v>10980</x:v>
      </x:c>
      <x:c r="I637" s="54" t="n">
        <x:f>IF(AND(ISNUMBER(F637),ISNUMBER(G637)),ROUND(F637*G637,0),H637)</x:f>
        <x:v>10980</x:v>
      </x:c>
      <x:c r="J637" s="54" t="n">
        <x:f>I637-H637</x:f>
        <x:v>0</x:v>
      </x:c>
      <x:c r="K637" s="51" t="str">
        <x:v>Багцын задаргаа</x:v>
      </x:c>
      <x:c r="L637" s="51" t="str">
        <x:f>IF(J637=0,"OK","Шалгах")</x:f>
        <x:v>OK</x:v>
      </x:c>
      <x:c r="M637" s="51" t="str">
        <x:v>Цахилгаан</x:v>
      </x:c>
      <x:c r="N637" s="51" t="n">
        <x:v>32</x:v>
      </x:c>
    </x:row>
    <x:row r="638">
      <x:c r="A638" s="51" t="str">
        <x:v>MAT-6R-0624</x:v>
      </x:c>
      <x:c r="B638" s="52" t="str">
        <x:v>ЦАХИЛГААНЫ САМБАР</x:v>
      </x:c>
      <x:c r="C638" s="52" t="str">
        <x:v>Хэмжүүрийн хэлхээний удирдлагын солиур залгуур</x:v>
      </x:c>
      <x:c r="D638" s="52" t="str"/>
      <x:c r="E638" s="52" t="str">
        <x:v>ш</x:v>
      </x:c>
      <x:c r="F638" s="53" t="n">
        <x:v>2</x:v>
      </x:c>
      <x:c r="G638" s="54" t="n">
        <x:v>85595</x:v>
      </x:c>
      <x:c r="H638" s="54" t="n">
        <x:v>85595</x:v>
      </x:c>
      <x:c r="I638" s="54" t="n">
        <x:f>IF(AND(ISNUMBER(F638),ISNUMBER(G638)),ROUND(F638*G638,0),H638)</x:f>
        <x:v>171190</x:v>
      </x:c>
      <x:c r="J638" s="54" t="n">
        <x:f>I638-H638</x:f>
        <x:v>85595</x:v>
      </x:c>
      <x:c r="K638" s="51" t="str">
        <x:v>Багцын задаргаа</x:v>
      </x:c>
      <x:c r="L638" s="51" t="str">
        <x:f>IF(J638=0,"OK","Шалгах")</x:f>
        <x:v>Шалгах</x:v>
      </x:c>
      <x:c r="M638" s="51" t="str">
        <x:v>Цахилгаан</x:v>
      </x:c>
      <x:c r="N638" s="51" t="n">
        <x:v>33</x:v>
      </x:c>
    </x:row>
    <x:row r="639">
      <x:c r="A639" s="51" t="str">
        <x:v>MAT-6R-0625</x:v>
      </x:c>
      <x:c r="B639" s="52" t="str">
        <x:v>ЦАХИЛГААНЫ САМБАР</x:v>
      </x:c>
      <x:c r="C639" s="52" t="str">
        <x:v>Гүйдэл хэмжигч электрон</x:v>
      </x:c>
      <x:c r="D639" s="52" t="str">
        <x:v>Амперметр</x:v>
      </x:c>
      <x:c r="E639" s="52" t="str">
        <x:v>ш</x:v>
      </x:c>
      <x:c r="F639" s="53" t="n">
        <x:v>1</x:v>
      </x:c>
      <x:c r="G639" s="54"/>
      <x:c r="H639" s="54" t="n">
        <x:v>0</x:v>
      </x:c>
      <x:c r="I639" s="54" t="n">
        <x:f>IF(AND(ISNUMBER(F639),ISNUMBER(G639)),ROUND(F639*G639,0),H639)</x:f>
        <x:v>0</x:v>
      </x:c>
      <x:c r="J639" s="54" t="n">
        <x:f>I639-H639</x:f>
        <x:v>0</x:v>
      </x:c>
      <x:c r="K639" s="51" t="str">
        <x:v>Багцын задаргаа</x:v>
      </x:c>
      <x:c r="L639" s="51" t="str">
        <x:f>IF(J639=0,"OK","Шалгах")</x:f>
        <x:v>OK</x:v>
      </x:c>
      <x:c r="M639" s="51" t="str">
        <x:v>Цахилгаан</x:v>
      </x:c>
      <x:c r="N639" s="51" t="n">
        <x:v>34</x:v>
      </x:c>
    </x:row>
    <x:row r="640">
      <x:c r="A640" s="51" t="str">
        <x:v>MAT-6R-0626</x:v>
      </x:c>
      <x:c r="B640" s="52" t="str">
        <x:v>ЦАХИЛГААНЫ САМБАР</x:v>
      </x:c>
      <x:c r="C640" s="52" t="str">
        <x:v>Хүчдэл хэмжигч электрон</x:v>
      </x:c>
      <x:c r="D640" s="52" t="str">
        <x:v>Вольтметр</x:v>
      </x:c>
      <x:c r="E640" s="52" t="str">
        <x:v>ш</x:v>
      </x:c>
      <x:c r="F640" s="53" t="n">
        <x:v>1</x:v>
      </x:c>
      <x:c r="G640" s="54"/>
      <x:c r="H640" s="54" t="n">
        <x:v>0</x:v>
      </x:c>
      <x:c r="I640" s="54" t="n">
        <x:f>IF(AND(ISNUMBER(F640),ISNUMBER(G640)),ROUND(F640*G640,0),H640)</x:f>
        <x:v>0</x:v>
      </x:c>
      <x:c r="J640" s="54" t="n">
        <x:f>I640-H640</x:f>
        <x:v>0</x:v>
      </x:c>
      <x:c r="K640" s="51" t="str">
        <x:v>Багцын задаргаа</x:v>
      </x:c>
      <x:c r="L640" s="51" t="str">
        <x:f>IF(J640=0,"OK","Шалгах")</x:f>
        <x:v>OK</x:v>
      </x:c>
      <x:c r="M640" s="51" t="str">
        <x:v>Цахилгаан</x:v>
      </x:c>
      <x:c r="N640" s="51" t="n">
        <x:v>35</x:v>
      </x:c>
    </x:row>
    <x:row r="641">
      <x:c r="A641" s="51" t="str">
        <x:v>MAT-6R-0627</x:v>
      </x:c>
      <x:c r="B641" s="52" t="str">
        <x:v>ЦАХИЛГААНЫ САМБАР</x:v>
      </x:c>
      <x:c r="C641" s="52" t="str">
        <x:v>Фазын шин, N, PE-ын шин</x:v>
      </x:c>
      <x:c r="D641" s="52" t="str">
        <x:v>630А</x:v>
      </x:c>
      <x:c r="E641" s="52" t="str">
        <x:v>комп</x:v>
      </x:c>
      <x:c r="F641" s="53" t="n">
        <x:v>1</x:v>
      </x:c>
      <x:c r="G641" s="54" t="n">
        <x:v>10500</x:v>
      </x:c>
      <x:c r="H641" s="54" t="n">
        <x:v>10500</x:v>
      </x:c>
      <x:c r="I641" s="54" t="n">
        <x:f>IF(AND(ISNUMBER(F641),ISNUMBER(G641)),ROUND(F641*G641,0),H641)</x:f>
        <x:v>10500</x:v>
      </x:c>
      <x:c r="J641" s="54" t="n">
        <x:f>I641-H641</x:f>
        <x:v>0</x:v>
      </x:c>
      <x:c r="K641" s="51" t="str">
        <x:v>Багцын задаргаа</x:v>
      </x:c>
      <x:c r="L641" s="51" t="str">
        <x:f>IF(J641=0,"OK","Шалгах")</x:f>
        <x:v>OK</x:v>
      </x:c>
      <x:c r="M641" s="51" t="str">
        <x:v>Цахилгаан</x:v>
      </x:c>
      <x:c r="N641" s="51" t="n">
        <x:v>36</x:v>
      </x:c>
    </x:row>
    <x:row r="642">
      <x:c r="A642" s="51" t="str">
        <x:v>MAT-6R-0628</x:v>
      </x:c>
      <x:c r="B642" s="52" t="str">
        <x:v>ЦАХИЛГААНЫ САМБАР</x:v>
      </x:c>
      <x:c r="C642" s="52" t="str">
        <x:v>ШИН</x:v>
      </x:c>
      <x:c r="D642" s="52" t="str"/>
      <x:c r="E642" s="52" t="str">
        <x:v>М</x:v>
      </x:c>
      <x:c r="F642" s="53" t="n">
        <x:v>3</x:v>
      </x:c>
      <x:c r="G642" s="54" t="n">
        <x:v>10500</x:v>
      </x:c>
      <x:c r="H642" s="54" t="n">
        <x:v>31500</x:v>
      </x:c>
      <x:c r="I642" s="54" t="n">
        <x:f>IF(AND(ISNUMBER(F642),ISNUMBER(G642)),ROUND(F642*G642,0),H642)</x:f>
        <x:v>31500</x:v>
      </x:c>
      <x:c r="J642" s="54" t="n">
        <x:f>I642-H642</x:f>
        <x:v>0</x:v>
      </x:c>
      <x:c r="K642" s="51" t="str">
        <x:v>Багцын задаргаа</x:v>
      </x:c>
      <x:c r="L642" s="51" t="str">
        <x:f>IF(J642=0,"OK","Шалгах")</x:f>
        <x:v>OK</x:v>
      </x:c>
      <x:c r="M642" s="51" t="str">
        <x:v>Цахилгаан</x:v>
      </x:c>
      <x:c r="N642" s="51" t="n">
        <x:v>37</x:v>
      </x:c>
    </x:row>
    <x:row r="643">
      <x:c r="A643" s="51" t="str">
        <x:v>MAT-6R-0629</x:v>
      </x:c>
      <x:c r="B643" s="52" t="str">
        <x:v>ЦАХИЛГААНЫ САМБАР</x:v>
      </x:c>
      <x:c r="C643" s="52" t="str">
        <x:v>BBKIT</x:v>
      </x:c>
      <x:c r="D643" s="52" t="str"/>
      <x:c r="E643" s="52" t="str">
        <x:v>ш</x:v>
      </x:c>
      <x:c r="F643" s="53" t="n">
        <x:v>6</x:v>
      </x:c>
      <x:c r="G643" s="54" t="n">
        <x:v>1800</x:v>
      </x:c>
      <x:c r="H643" s="54" t="n">
        <x:v>10800</x:v>
      </x:c>
      <x:c r="I643" s="54" t="n">
        <x:f>IF(AND(ISNUMBER(F643),ISNUMBER(G643)),ROUND(F643*G643,0),H643)</x:f>
        <x:v>10800</x:v>
      </x:c>
      <x:c r="J643" s="54" t="n">
        <x:f>I643-H643</x:f>
        <x:v>0</x:v>
      </x:c>
      <x:c r="K643" s="51" t="str">
        <x:v>Багцын задаргаа</x:v>
      </x:c>
      <x:c r="L643" s="51" t="str">
        <x:f>IF(J643=0,"OK","Шалгах")</x:f>
        <x:v>OK</x:v>
      </x:c>
      <x:c r="M643" s="51" t="str">
        <x:v>Цахилгаан</x:v>
      </x:c>
      <x:c r="N643" s="51" t="n">
        <x:v>38</x:v>
      </x:c>
    </x:row>
    <x:row r="644">
      <x:c r="A644" s="51" t="str">
        <x:v>MAT-6R-0630</x:v>
      </x:c>
      <x:c r="B644" s="52" t="str">
        <x:v>ЦАХИЛГААНЫ САМБАР</x:v>
      </x:c>
      <x:c r="C644" s="52" t="str">
        <x:v>Төмөр самбар</x:v>
      </x:c>
      <x:c r="D644" s="52" t="str">
        <x:v>1600х800х400 мм</x:v>
      </x:c>
      <x:c r="E644" s="52" t="str"/>
      <x:c r="F644" s="53" t="n">
        <x:v>1</x:v>
      </x:c>
      <x:c r="G644" s="54" t="n">
        <x:v>983250</x:v>
      </x:c>
      <x:c r="H644" s="54" t="n">
        <x:v>983250</x:v>
      </x:c>
      <x:c r="I644" s="54" t="n">
        <x:f>IF(AND(ISNUMBER(F644),ISNUMBER(G644)),ROUND(F644*G644,0),H644)</x:f>
        <x:v>983250</x:v>
      </x:c>
      <x:c r="J644" s="54" t="n">
        <x:f>I644-H644</x:f>
        <x:v>0</x:v>
      </x:c>
      <x:c r="K644" s="51" t="str">
        <x:v>Багцын задаргаа</x:v>
      </x:c>
      <x:c r="L644" s="51" t="str">
        <x:f>IF(J644=0,"OK","Шалгах")</x:f>
        <x:v>OK</x:v>
      </x:c>
      <x:c r="M644" s="51" t="str">
        <x:v>Цахилгаан</x:v>
      </x:c>
      <x:c r="N644" s="51" t="n">
        <x:v>40</x:v>
      </x:c>
    </x:row>
    <x:row r="645">
      <x:c r="A645" s="51" t="str">
        <x:v>MAT-6R-0631</x:v>
      </x:c>
      <x:c r="B645" s="52" t="str">
        <x:v>ЦАХИЛГААНЫ САМБАР</x:v>
      </x:c>
      <x:c r="C645" s="52" t="str">
        <x:v>Хэт хүчдэл хязгаарлагч</x:v>
      </x:c>
      <x:c r="D645" s="52" t="str">
        <x:v>ОПС1-В-4Р</x:v>
      </x:c>
      <x:c r="E645" s="52" t="str">
        <x:v>ш</x:v>
      </x:c>
      <x:c r="F645" s="53" t="n">
        <x:v>1</x:v>
      </x:c>
      <x:c r="G645" s="54" t="n">
        <x:v>234000</x:v>
      </x:c>
      <x:c r="H645" s="54" t="n">
        <x:v>234000</x:v>
      </x:c>
      <x:c r="I645" s="54" t="n">
        <x:f>IF(AND(ISNUMBER(F645),ISNUMBER(G645)),ROUND(F645*G645,0),H645)</x:f>
        <x:v>234000</x:v>
      </x:c>
      <x:c r="J645" s="54" t="n">
        <x:f>I645-H645</x:f>
        <x:v>0</x:v>
      </x:c>
      <x:c r="K645" s="51" t="str">
        <x:v>Багцын задаргаа</x:v>
      </x:c>
      <x:c r="L645" s="51" t="str">
        <x:f>IF(J645=0,"OK","Шалгах")</x:f>
        <x:v>OK</x:v>
      </x:c>
      <x:c r="M645" s="51" t="str">
        <x:v>Цахилгаан</x:v>
      </x:c>
      <x:c r="N645" s="51" t="n">
        <x:v>41</x:v>
      </x:c>
    </x:row>
    <x:row r="646">
      <x:c r="A646" s="51" t="str">
        <x:v>MAT-6R-0632</x:v>
      </x:c>
      <x:c r="B646" s="52" t="str">
        <x:v>ЦАХИЛГААНЫ САМБАР</x:v>
      </x:c>
      <x:c r="C646" s="52" t="str">
        <x:v>ВА47.29.4Р шугамын автомат, характристика С</x:v>
      </x:c>
      <x:c r="D646" s="52" t="str">
        <x:v>63А</x:v>
      </x:c>
      <x:c r="E646" s="52" t="str">
        <x:v>комп</x:v>
      </x:c>
      <x:c r="F646" s="53" t="n">
        <x:v>1</x:v>
      </x:c>
      <x:c r="G646" s="54" t="n">
        <x:v>19620</x:v>
      </x:c>
      <x:c r="H646" s="54" t="n">
        <x:v>19620</x:v>
      </x:c>
      <x:c r="I646" s="54" t="n">
        <x:f>IF(AND(ISNUMBER(F646),ISNUMBER(G646)),ROUND(F646*G646,0),H646)</x:f>
        <x:v>19620</x:v>
      </x:c>
      <x:c r="J646" s="54" t="n">
        <x:f>I646-H646</x:f>
        <x:v>0</x:v>
      </x:c>
      <x:c r="K646" s="51" t="str">
        <x:v>Багцын задаргаа</x:v>
      </x:c>
      <x:c r="L646" s="51" t="str">
        <x:f>IF(J646=0,"OK","Шалгах")</x:f>
        <x:v>OK</x:v>
      </x:c>
      <x:c r="M646" s="51" t="str">
        <x:v>Цахилгаан</x:v>
      </x:c>
      <x:c r="N646" s="51" t="n">
        <x:v>42</x:v>
      </x:c>
    </x:row>
    <x:row r="647">
      <x:c r="A647" s="51" t="str">
        <x:v>MAT-6R-0633</x:v>
      </x:c>
      <x:c r="B647" s="52" t="str">
        <x:v>ЦАХИЛГААНЫ САМБАР</x:v>
      </x:c>
      <x:c r="C647" s="52" t="str">
        <x:v>Бэлтгэл тэжээл автоматаар залгагч (3 талын оруулгатай)</x:v>
      </x:c>
      <x:c r="D647" s="52" t="str">
        <x:v>БТАЗ-315А</x:v>
      </x:c>
      <x:c r="E647" s="52" t="str">
        <x:v>комп</x:v>
      </x:c>
      <x:c r="F647" s="53" t="n">
        <x:v>1</x:v>
      </x:c>
      <x:c r="G647" s="54" t="n">
        <x:v>1896350</x:v>
      </x:c>
      <x:c r="H647" s="54" t="n">
        <x:v>1896350</x:v>
      </x:c>
      <x:c r="I647" s="54" t="n">
        <x:f>IF(AND(ISNUMBER(F647),ISNUMBER(G647)),ROUND(F647*G647,0),H647)</x:f>
        <x:v>1896350</x:v>
      </x:c>
      <x:c r="J647" s="54" t="n">
        <x:f>I647-H647</x:f>
        <x:v>0</x:v>
      </x:c>
      <x:c r="K647" s="51" t="str">
        <x:v>Багцын задаргаа</x:v>
      </x:c>
      <x:c r="L647" s="51" t="str">
        <x:f>IF(J647=0,"OK","Шалгах")</x:f>
        <x:v>OK</x:v>
      </x:c>
      <x:c r="M647" s="51" t="str">
        <x:v>Цахилгаан</x:v>
      </x:c>
      <x:c r="N647" s="51" t="n">
        <x:v>43</x:v>
      </x:c>
    </x:row>
    <x:row r="648">
      <x:c r="A648" s="51" t="str">
        <x:v>MAT-6R-0634</x:v>
      </x:c>
      <x:c r="B648" s="52" t="str">
        <x:v>ЦАХИЛГААНЫ САМБАР</x:v>
      </x:c>
      <x:c r="C648" s="52" t="str">
        <x:v>3 фазын шугамын автомат</x:v>
      </x:c>
      <x:c r="D648" s="52" t="str">
        <x:v>ВА88.35.3Р-250А</x:v>
      </x:c>
      <x:c r="E648" s="52" t="str">
        <x:v>ш</x:v>
      </x:c>
      <x:c r="F648" s="53" t="n">
        <x:v>1</x:v>
      </x:c>
      <x:c r="G648" s="54" t="n">
        <x:v>201420</x:v>
      </x:c>
      <x:c r="H648" s="54" t="n">
        <x:v>201420</x:v>
      </x:c>
      <x:c r="I648" s="54" t="n">
        <x:f>IF(AND(ISNUMBER(F648),ISNUMBER(G648)),ROUND(F648*G648,0),H648)</x:f>
        <x:v>201420</x:v>
      </x:c>
      <x:c r="J648" s="54" t="n">
        <x:f>I648-H648</x:f>
        <x:v>0</x:v>
      </x:c>
      <x:c r="K648" s="51" t="str">
        <x:v>Багцын задаргаа</x:v>
      </x:c>
      <x:c r="L648" s="51" t="str">
        <x:f>IF(J648=0,"OK","Шалгах")</x:f>
        <x:v>OK</x:v>
      </x:c>
      <x:c r="M648" s="51" t="str">
        <x:v>Цахилгаан</x:v>
      </x:c>
      <x:c r="N648" s="51" t="n">
        <x:v>44</x:v>
      </x:c>
    </x:row>
    <x:row r="649">
      <x:c r="A649" s="51" t="str">
        <x:v>MAT-6R-0635</x:v>
      </x:c>
      <x:c r="B649" s="52" t="str">
        <x:v>ЦАХИЛГААНЫ САМБАР</x:v>
      </x:c>
      <x:c r="C649" s="52" t="str">
        <x:v>3 фазын шугамын автомат</x:v>
      </x:c>
      <x:c r="D649" s="52" t="str">
        <x:v>ВА88.33.3Р-80А</x:v>
      </x:c>
      <x:c r="E649" s="52" t="str">
        <x:v>ш</x:v>
      </x:c>
      <x:c r="F649" s="53" t="n">
        <x:v>1</x:v>
      </x:c>
      <x:c r="G649" s="54" t="n">
        <x:v>95760</x:v>
      </x:c>
      <x:c r="H649" s="54" t="n">
        <x:v>95760</x:v>
      </x:c>
      <x:c r="I649" s="54" t="n">
        <x:f>IF(AND(ISNUMBER(F649),ISNUMBER(G649)),ROUND(F649*G649,0),H649)</x:f>
        <x:v>95760</x:v>
      </x:c>
      <x:c r="J649" s="54" t="n">
        <x:f>I649-H649</x:f>
        <x:v>0</x:v>
      </x:c>
      <x:c r="K649" s="51" t="str">
        <x:v>Багцын задаргаа</x:v>
      </x:c>
      <x:c r="L649" s="51" t="str">
        <x:f>IF(J649=0,"OK","Шалгах")</x:f>
        <x:v>OK</x:v>
      </x:c>
      <x:c r="M649" s="51" t="str">
        <x:v>Цахилгаан</x:v>
      </x:c>
      <x:c r="N649" s="51" t="n">
        <x:v>45</x:v>
      </x:c>
    </x:row>
    <x:row r="650">
      <x:c r="A650" s="51" t="str">
        <x:v>MAT-6R-0636</x:v>
      </x:c>
      <x:c r="B650" s="52" t="str">
        <x:v>ЦАХИЛГААНЫ САМБАР</x:v>
      </x:c>
      <x:c r="C650" s="52" t="str">
        <x:v>3 фазын шугамын автомат</x:v>
      </x:c>
      <x:c r="D650" s="52" t="str">
        <x:v>ВА88.33.3Р-50А</x:v>
      </x:c>
      <x:c r="E650" s="52" t="str">
        <x:v>ш</x:v>
      </x:c>
      <x:c r="F650" s="53" t="n">
        <x:v>5</x:v>
      </x:c>
      <x:c r="G650" s="54" t="n">
        <x:v>88290</x:v>
      </x:c>
      <x:c r="H650" s="54" t="n">
        <x:v>441450</x:v>
      </x:c>
      <x:c r="I650" s="54" t="n">
        <x:f>IF(AND(ISNUMBER(F650),ISNUMBER(G650)),ROUND(F650*G650,0),H650)</x:f>
        <x:v>441450</x:v>
      </x:c>
      <x:c r="J650" s="54" t="n">
        <x:f>I650-H650</x:f>
        <x:v>0</x:v>
      </x:c>
      <x:c r="K650" s="51" t="str">
        <x:v>Багцын задаргаа</x:v>
      </x:c>
      <x:c r="L650" s="51" t="str">
        <x:f>IF(J650=0,"OK","Шалгах")</x:f>
        <x:v>OK</x:v>
      </x:c>
      <x:c r="M650" s="51" t="str">
        <x:v>Цахилгаан</x:v>
      </x:c>
      <x:c r="N650" s="51" t="n">
        <x:v>46</x:v>
      </x:c>
    </x:row>
    <x:row r="651">
      <x:c r="A651" s="51" t="str">
        <x:v>MAT-6R-0637</x:v>
      </x:c>
      <x:c r="B651" s="52" t="str">
        <x:v>ЦАХИЛГААНЫ САМБАР</x:v>
      </x:c>
      <x:c r="C651" s="52" t="str">
        <x:v>3 фазын шугамын автомат</x:v>
      </x:c>
      <x:c r="D651" s="52" t="str">
        <x:v>ВА88.32.3Р-32А</x:v>
      </x:c>
      <x:c r="E651" s="52" t="str">
        <x:v>ш</x:v>
      </x:c>
      <x:c r="F651" s="53" t="n">
        <x:v>3</x:v>
      </x:c>
      <x:c r="G651" s="54" t="n">
        <x:v>88290</x:v>
      </x:c>
      <x:c r="H651" s="54" t="n">
        <x:v>264870</x:v>
      </x:c>
      <x:c r="I651" s="54" t="n">
        <x:f>IF(AND(ISNUMBER(F651),ISNUMBER(G651)),ROUND(F651*G651,0),H651)</x:f>
        <x:v>264870</x:v>
      </x:c>
      <x:c r="J651" s="54" t="n">
        <x:f>I651-H651</x:f>
        <x:v>0</x:v>
      </x:c>
      <x:c r="K651" s="51" t="str">
        <x:v>Багцын задаргаа</x:v>
      </x:c>
      <x:c r="L651" s="51" t="str">
        <x:f>IF(J651=0,"OK","Шалгах")</x:f>
        <x:v>OK</x:v>
      </x:c>
      <x:c r="M651" s="51" t="str">
        <x:v>Цахилгаан</x:v>
      </x:c>
      <x:c r="N651" s="51" t="n">
        <x:v>47</x:v>
      </x:c>
    </x:row>
    <x:row r="652">
      <x:c r="A652" s="51" t="str">
        <x:v>MAT-6R-0638</x:v>
      </x:c>
      <x:c r="B652" s="52" t="str">
        <x:v>ЦАХИЛГААНЫ САМБАР</x:v>
      </x:c>
      <x:c r="C652" s="52" t="str">
        <x:v>Гүйдлийн трансформатор</x:v>
      </x:c>
      <x:c r="D652" s="52" t="str">
        <x:v>300/5А</x:v>
      </x:c>
      <x:c r="E652" s="52" t="str">
        <x:v>комп</x:v>
      </x:c>
      <x:c r="F652" s="53" t="n">
        <x:v>9</x:v>
      </x:c>
      <x:c r="G652" s="54" t="n">
        <x:v>35910</x:v>
      </x:c>
      <x:c r="H652" s="54" t="n">
        <x:v>323190</x:v>
      </x:c>
      <x:c r="I652" s="54" t="n">
        <x:f>IF(AND(ISNUMBER(F652),ISNUMBER(G652)),ROUND(F652*G652,0),H652)</x:f>
        <x:v>323190</x:v>
      </x:c>
      <x:c r="J652" s="54" t="n">
        <x:f>I652-H652</x:f>
        <x:v>0</x:v>
      </x:c>
      <x:c r="K652" s="51" t="str">
        <x:v>Багцын задаргаа</x:v>
      </x:c>
      <x:c r="L652" s="51" t="str">
        <x:f>IF(J652=0,"OK","Шалгах")</x:f>
        <x:v>OK</x:v>
      </x:c>
      <x:c r="M652" s="51" t="str">
        <x:v>Цахилгаан</x:v>
      </x:c>
      <x:c r="N652" s="51" t="n">
        <x:v>48</x:v>
      </x:c>
    </x:row>
    <x:row r="653">
      <x:c r="A653" s="51" t="str">
        <x:v>MAT-6R-0639</x:v>
      </x:c>
      <x:c r="B653" s="52" t="str">
        <x:v>ЦАХИЛГААНЫ САМБАР</x:v>
      </x:c>
      <x:c r="C653" s="52" t="str">
        <x:v>Дохионы гэрэл</x:v>
      </x:c>
      <x:c r="D653" s="52" t="str">
        <x:v>HL 1,2,3</x:v>
      </x:c>
      <x:c r="E653" s="52" t="str">
        <x:v>ш</x:v>
      </x:c>
      <x:c r="F653" s="53" t="n">
        <x:v>3</x:v>
      </x:c>
      <x:c r="G653" s="54" t="n">
        <x:v>3510</x:v>
      </x:c>
      <x:c r="H653" s="54" t="n">
        <x:v>10530</x:v>
      </x:c>
      <x:c r="I653" s="54" t="n">
        <x:f>IF(AND(ISNUMBER(F653),ISNUMBER(G653)),ROUND(F653*G653,0),H653)</x:f>
        <x:v>10530</x:v>
      </x:c>
      <x:c r="J653" s="54" t="n">
        <x:f>I653-H653</x:f>
        <x:v>0</x:v>
      </x:c>
      <x:c r="K653" s="51" t="str">
        <x:v>Багцын задаргаа</x:v>
      </x:c>
      <x:c r="L653" s="51" t="str">
        <x:f>IF(J653=0,"OK","Шалгах")</x:f>
        <x:v>OK</x:v>
      </x:c>
      <x:c r="M653" s="51" t="str">
        <x:v>Цахилгаан</x:v>
      </x:c>
      <x:c r="N653" s="51" t="n">
        <x:v>49</x:v>
      </x:c>
    </x:row>
    <x:row r="654">
      <x:c r="A654" s="51" t="str">
        <x:v>MAT-6R-0640</x:v>
      </x:c>
      <x:c r="B654" s="52" t="str">
        <x:v>ЦАХИЛГААНЫ САМБАР</x:v>
      </x:c>
      <x:c r="C654" s="52" t="str">
        <x:v>Хэмжүүрийн хэлхээний удирдлагын солиур залгуур</x:v>
      </x:c>
      <x:c r="D654" s="52" t="str"/>
      <x:c r="E654" s="52" t="str">
        <x:v>ш</x:v>
      </x:c>
      <x:c r="F654" s="53" t="n">
        <x:v>2</x:v>
      </x:c>
      <x:c r="G654" s="54" t="n">
        <x:v>87394</x:v>
      </x:c>
      <x:c r="H654" s="54" t="n">
        <x:v>87394</x:v>
      </x:c>
      <x:c r="I654" s="54" t="n">
        <x:f>IF(AND(ISNUMBER(F654),ISNUMBER(G654)),ROUND(F654*G654,0),H654)</x:f>
        <x:v>174788</x:v>
      </x:c>
      <x:c r="J654" s="54" t="n">
        <x:f>I654-H654</x:f>
        <x:v>87394</x:v>
      </x:c>
      <x:c r="K654" s="51" t="str">
        <x:v>Багцын задаргаа</x:v>
      </x:c>
      <x:c r="L654" s="51" t="str">
        <x:f>IF(J654=0,"OK","Шалгах")</x:f>
        <x:v>Шалгах</x:v>
      </x:c>
      <x:c r="M654" s="51" t="str">
        <x:v>Цахилгаан</x:v>
      </x:c>
      <x:c r="N654" s="51" t="n">
        <x:v>50</x:v>
      </x:c>
    </x:row>
    <x:row r="655">
      <x:c r="A655" s="51" t="str">
        <x:v>MAT-6R-0641</x:v>
      </x:c>
      <x:c r="B655" s="52" t="str">
        <x:v>ЦАХИЛГААНЫ САМБАР</x:v>
      </x:c>
      <x:c r="C655" s="52" t="str">
        <x:v>Гүйдэл хэмжигч электрон</x:v>
      </x:c>
      <x:c r="D655" s="52" t="str">
        <x:v>Амперметр</x:v>
      </x:c>
      <x:c r="E655" s="52" t="str">
        <x:v>ш</x:v>
      </x:c>
      <x:c r="F655" s="53" t="n">
        <x:v>1</x:v>
      </x:c>
      <x:c r="G655" s="54"/>
      <x:c r="H655" s="54" t="n">
        <x:v>0</x:v>
      </x:c>
      <x:c r="I655" s="54" t="n">
        <x:f>IF(AND(ISNUMBER(F655),ISNUMBER(G655)),ROUND(F655*G655,0),H655)</x:f>
        <x:v>0</x:v>
      </x:c>
      <x:c r="J655" s="54" t="n">
        <x:f>I655-H655</x:f>
        <x:v>0</x:v>
      </x:c>
      <x:c r="K655" s="51" t="str">
        <x:v>Багцын задаргаа</x:v>
      </x:c>
      <x:c r="L655" s="51" t="str">
        <x:f>IF(J655=0,"OK","Шалгах")</x:f>
        <x:v>OK</x:v>
      </x:c>
      <x:c r="M655" s="51" t="str">
        <x:v>Цахилгаан</x:v>
      </x:c>
      <x:c r="N655" s="51" t="n">
        <x:v>51</x:v>
      </x:c>
    </x:row>
    <x:row r="656">
      <x:c r="A656" s="51" t="str">
        <x:v>MAT-6R-0642</x:v>
      </x:c>
      <x:c r="B656" s="52" t="str">
        <x:v>ЦАХИЛГААНЫ САМБАР</x:v>
      </x:c>
      <x:c r="C656" s="52" t="str">
        <x:v>Хүчдэл хэмжигч электрон</x:v>
      </x:c>
      <x:c r="D656" s="52" t="str">
        <x:v>Вольтметр</x:v>
      </x:c>
      <x:c r="E656" s="52" t="str">
        <x:v>ш</x:v>
      </x:c>
      <x:c r="F656" s="53" t="n">
        <x:v>1</x:v>
      </x:c>
      <x:c r="G656" s="54"/>
      <x:c r="H656" s="54" t="n">
        <x:v>0</x:v>
      </x:c>
      <x:c r="I656" s="54" t="n">
        <x:f>IF(AND(ISNUMBER(F656),ISNUMBER(G656)),ROUND(F656*G656,0),H656)</x:f>
        <x:v>0</x:v>
      </x:c>
      <x:c r="J656" s="54" t="n">
        <x:f>I656-H656</x:f>
        <x:v>0</x:v>
      </x:c>
      <x:c r="K656" s="51" t="str">
        <x:v>Багцын задаргаа</x:v>
      </x:c>
      <x:c r="L656" s="51" t="str">
        <x:f>IF(J656=0,"OK","Шалгах")</x:f>
        <x:v>OK</x:v>
      </x:c>
      <x:c r="M656" s="51" t="str">
        <x:v>Цахилгаан</x:v>
      </x:c>
      <x:c r="N656" s="51" t="n">
        <x:v>52</x:v>
      </x:c>
    </x:row>
    <x:row r="657">
      <x:c r="A657" s="51" t="str">
        <x:v>MAT-6R-0643</x:v>
      </x:c>
      <x:c r="B657" s="52" t="str">
        <x:v>ЦАХИЛГААНЫ САМБАР</x:v>
      </x:c>
      <x:c r="C657" s="52" t="str">
        <x:v>ВА47.29.4Р шугамын автомат, характристика В</x:v>
      </x:c>
      <x:c r="D657" s="52" t="str">
        <x:v>3А</x:v>
      </x:c>
      <x:c r="E657" s="52" t="str">
        <x:v>ш</x:v>
      </x:c>
      <x:c r="F657" s="53" t="n">
        <x:v>3</x:v>
      </x:c>
      <x:c r="G657" s="54" t="n">
        <x:v>17190</x:v>
      </x:c>
      <x:c r="H657" s="54" t="n">
        <x:v>51570</x:v>
      </x:c>
      <x:c r="I657" s="54" t="n">
        <x:f>IF(AND(ISNUMBER(F657),ISNUMBER(G657)),ROUND(F657*G657,0),H657)</x:f>
        <x:v>51570</x:v>
      </x:c>
      <x:c r="J657" s="54" t="n">
        <x:f>I657-H657</x:f>
        <x:v>0</x:v>
      </x:c>
      <x:c r="K657" s="51" t="str">
        <x:v>Багцын задаргаа</x:v>
      </x:c>
      <x:c r="L657" s="51" t="str">
        <x:f>IF(J657=0,"OK","Шалгах")</x:f>
        <x:v>OK</x:v>
      </x:c>
      <x:c r="M657" s="51" t="str">
        <x:v>Цахилгаан</x:v>
      </x:c>
      <x:c r="N657" s="51" t="n">
        <x:v>53</x:v>
      </x:c>
    </x:row>
    <x:row r="658">
      <x:c r="A658" s="51" t="str">
        <x:v>MAT-6R-0644</x:v>
      </x:c>
      <x:c r="B658" s="52" t="str">
        <x:v>ЦАХИЛГААНЫ САМБАР</x:v>
      </x:c>
      <x:c r="C658" s="52" t="str">
        <x:v>Фазын шин, N, PE-ын шин</x:v>
      </x:c>
      <x:c r="D658" s="52" t="str">
        <x:v>250А</x:v>
      </x:c>
      <x:c r="E658" s="52" t="str">
        <x:v>комп</x:v>
      </x:c>
      <x:c r="F658" s="53" t="n">
        <x:v>1</x:v>
      </x:c>
      <x:c r="G658" s="54" t="n">
        <x:v>10500</x:v>
      </x:c>
      <x:c r="H658" s="54" t="n">
        <x:v>10500</x:v>
      </x:c>
      <x:c r="I658" s="54" t="n">
        <x:f>IF(AND(ISNUMBER(F658),ISNUMBER(G658)),ROUND(F658*G658,0),H658)</x:f>
        <x:v>10500</x:v>
      </x:c>
      <x:c r="J658" s="54" t="n">
        <x:f>I658-H658</x:f>
        <x:v>0</x:v>
      </x:c>
      <x:c r="K658" s="51" t="str">
        <x:v>Багцын задаргаа</x:v>
      </x:c>
      <x:c r="L658" s="51" t="str">
        <x:f>IF(J658=0,"OK","Шалгах")</x:f>
        <x:v>OK</x:v>
      </x:c>
      <x:c r="M658" s="51" t="str">
        <x:v>Цахилгаан</x:v>
      </x:c>
      <x:c r="N658" s="51" t="n">
        <x:v>54</x:v>
      </x:c>
    </x:row>
    <x:row r="659">
      <x:c r="A659" s="51" t="str">
        <x:v>MAT-6R-0645</x:v>
      </x:c>
      <x:c r="B659" s="52" t="str">
        <x:v>ЦАХИЛГААНЫ САМБАР</x:v>
      </x:c>
      <x:c r="C659" s="52" t="str">
        <x:v>ШИН</x:v>
      </x:c>
      <x:c r="D659" s="52" t="str"/>
      <x:c r="E659" s="52" t="str">
        <x:v>М</x:v>
      </x:c>
      <x:c r="F659" s="53" t="n">
        <x:v>1</x:v>
      </x:c>
      <x:c r="G659" s="54" t="n">
        <x:v>10500</x:v>
      </x:c>
      <x:c r="H659" s="54" t="n">
        <x:v>10500</x:v>
      </x:c>
      <x:c r="I659" s="54" t="n">
        <x:f>IF(AND(ISNUMBER(F659),ISNUMBER(G659)),ROUND(F659*G659,0),H659)</x:f>
        <x:v>10500</x:v>
      </x:c>
      <x:c r="J659" s="54" t="n">
        <x:f>I659-H659</x:f>
        <x:v>0</x:v>
      </x:c>
      <x:c r="K659" s="51" t="str">
        <x:v>Багцын задаргаа</x:v>
      </x:c>
      <x:c r="L659" s="51" t="str">
        <x:f>IF(J659=0,"OK","Шалгах")</x:f>
        <x:v>OK</x:v>
      </x:c>
      <x:c r="M659" s="51" t="str">
        <x:v>Цахилгаан</x:v>
      </x:c>
      <x:c r="N659" s="51" t="n">
        <x:v>55</x:v>
      </x:c>
    </x:row>
    <x:row r="660">
      <x:c r="A660" s="51" t="str">
        <x:v>MAT-6R-0646</x:v>
      </x:c>
      <x:c r="B660" s="52" t="str">
        <x:v>ЦАХИЛГААНЫ САМБАР</x:v>
      </x:c>
      <x:c r="C660" s="52" t="str">
        <x:v>BBKIT</x:v>
      </x:c>
      <x:c r="D660" s="52" t="str"/>
      <x:c r="E660" s="52" t="str">
        <x:v>ш</x:v>
      </x:c>
      <x:c r="F660" s="53" t="n">
        <x:v>3</x:v>
      </x:c>
      <x:c r="G660" s="54" t="n">
        <x:v>1800</x:v>
      </x:c>
      <x:c r="H660" s="54" t="n">
        <x:v>5400</x:v>
      </x:c>
      <x:c r="I660" s="54" t="n">
        <x:f>IF(AND(ISNUMBER(F660),ISNUMBER(G660)),ROUND(F660*G660,0),H660)</x:f>
        <x:v>5400</x:v>
      </x:c>
      <x:c r="J660" s="54" t="n">
        <x:f>I660-H660</x:f>
        <x:v>0</x:v>
      </x:c>
      <x:c r="K660" s="51" t="str">
        <x:v>Багцын задаргаа</x:v>
      </x:c>
      <x:c r="L660" s="51" t="str">
        <x:f>IF(J660=0,"OK","Шалгах")</x:f>
        <x:v>OK</x:v>
      </x:c>
      <x:c r="M660" s="51" t="str">
        <x:v>Цахилгаан</x:v>
      </x:c>
      <x:c r="N660" s="51" t="n">
        <x:v>56</x:v>
      </x:c>
    </x:row>
    <x:row r="661">
      <x:c r="A661" s="51" t="str">
        <x:v>MAT-6R-0647</x:v>
      </x:c>
      <x:c r="B661" s="52" t="str">
        <x:v>ЦАХИЛГААНЫ САМБАР</x:v>
      </x:c>
      <x:c r="C661" s="52" t="str">
        <x:v>Тоолууртай төмөр самбар IP31</x:v>
      </x:c>
      <x:c r="D661" s="52" t="str">
        <x:v>ЩЭ-4-2</x:v>
      </x:c>
      <x:c r="E661" s="52" t="str">
        <x:v>комп</x:v>
      </x:c>
      <x:c r="F661" s="53" t="n">
        <x:v>16</x:v>
      </x:c>
      <x:c r="G661" s="54" t="n">
        <x:v>432620</x:v>
      </x:c>
      <x:c r="H661" s="54" t="n">
        <x:v>6921920</x:v>
      </x:c>
      <x:c r="I661" s="54" t="n">
        <x:f>IF(AND(ISNUMBER(F661),ISNUMBER(G661)),ROUND(F661*G661,0),H661)</x:f>
        <x:v>6921920</x:v>
      </x:c>
      <x:c r="J661" s="54" t="n">
        <x:f>I661-H661</x:f>
        <x:v>0</x:v>
      </x:c>
      <x:c r="K661" s="51" t="str">
        <x:v>Багцын задаргаа</x:v>
      </x:c>
      <x:c r="L661" s="51" t="str">
        <x:f>IF(J661=0,"OK","Шалгах")</x:f>
        <x:v>OK</x:v>
      </x:c>
      <x:c r="M661" s="51" t="str">
        <x:v>Цахилгаан</x:v>
      </x:c>
      <x:c r="N661" s="51" t="n">
        <x:v>58</x:v>
      </x:c>
    </x:row>
    <x:row r="662">
      <x:c r="A662" s="51" t="str">
        <x:v>MAT-6R-0648</x:v>
      </x:c>
      <x:c r="B662" s="52" t="str">
        <x:v>ЦАХИЛГААНЫ САМБАР</x:v>
      </x:c>
      <x:c r="C662" s="52" t="str">
        <x:v>Газардуулгийн гvйдэл мэдрэгчтэй автомат, характристика С</x:v>
      </x:c>
      <x:c r="D662" s="52" t="str">
        <x:v>АД12.2Р-50А/100мА</x:v>
      </x:c>
      <x:c r="E662" s="52" t="str">
        <x:v>ш</x:v>
      </x:c>
      <x:c r="F662" s="53" t="n">
        <x:v>123</x:v>
      </x:c>
      <x:c r="G662" s="54" t="n">
        <x:v>26460</x:v>
      </x:c>
      <x:c r="H662" s="54" t="n">
        <x:v>3254580</x:v>
      </x:c>
      <x:c r="I662" s="54" t="n">
        <x:f>IF(AND(ISNUMBER(F662),ISNUMBER(G662)),ROUND(F662*G662,0),H662)</x:f>
        <x:v>3254580</x:v>
      </x:c>
      <x:c r="J662" s="54" t="n">
        <x:f>I662-H662</x:f>
        <x:v>0</x:v>
      </x:c>
      <x:c r="K662" s="51" t="str">
        <x:v>Багцын задаргаа</x:v>
      </x:c>
      <x:c r="L662" s="51" t="str">
        <x:f>IF(J662=0,"OK","Шалгах")</x:f>
        <x:v>OK</x:v>
      </x:c>
      <x:c r="M662" s="51" t="str">
        <x:v>Цахилгаан</x:v>
      </x:c>
      <x:c r="N662" s="51" t="n">
        <x:v>59</x:v>
      </x:c>
    </x:row>
    <x:row r="663">
      <x:c r="A663" s="51" t="str">
        <x:v>MAT-6R-0649</x:v>
      </x:c>
      <x:c r="B663" s="52" t="str">
        <x:v>ЦАХИЛГААНЫ САМБАР</x:v>
      </x:c>
      <x:c r="C663" s="52" t="str">
        <x:v>BН32-2P шугамын таслуур</x:v>
      </x:c>
      <x:c r="D663" s="52" t="str">
        <x:v>63А</x:v>
      </x:c>
      <x:c r="E663" s="52" t="str">
        <x:v>ш</x:v>
      </x:c>
      <x:c r="F663" s="53" t="n">
        <x:v>123</x:v>
      </x:c>
      <x:c r="G663" s="54" t="n">
        <x:v>8280</x:v>
      </x:c>
      <x:c r="H663" s="54" t="n">
        <x:v>1018440</x:v>
      </x:c>
      <x:c r="I663" s="54" t="n">
        <x:f>IF(AND(ISNUMBER(F663),ISNUMBER(G663)),ROUND(F663*G663,0),H663)</x:f>
        <x:v>1018440</x:v>
      </x:c>
      <x:c r="J663" s="54" t="n">
        <x:f>I663-H663</x:f>
        <x:v>0</x:v>
      </x:c>
      <x:c r="K663" s="51" t="str">
        <x:v>Багцын задаргаа</x:v>
      </x:c>
      <x:c r="L663" s="51" t="str">
        <x:f>IF(J663=0,"OK","Шалгах")</x:f>
        <x:v>OK</x:v>
      </x:c>
      <x:c r="M663" s="51" t="str">
        <x:v>Цахилгаан</x:v>
      </x:c>
      <x:c r="N663" s="51" t="n">
        <x:v>60</x:v>
      </x:c>
    </x:row>
    <x:row r="664">
      <x:c r="A664" s="51" t="str">
        <x:v>MAT-6R-0650</x:v>
      </x:c>
      <x:c r="B664" s="52" t="str">
        <x:v>ЦАХИЛГААНЫ САМБАР</x:v>
      </x:c>
      <x:c r="C664" s="52" t="str">
        <x:v>Фазын клем</x:v>
      </x:c>
      <x:c r="D664" s="52" t="str">
        <x:v>160А</x:v>
      </x:c>
      <x:c r="E664" s="52" t="str">
        <x:v>комп</x:v>
      </x:c>
      <x:c r="F664" s="53" t="n">
        <x:v>16</x:v>
      </x:c>
      <x:c r="G664" s="54"/>
      <x:c r="H664" s="54" t="n">
        <x:v>0</x:v>
      </x:c>
      <x:c r="I664" s="54" t="n">
        <x:f>IF(AND(ISNUMBER(F664),ISNUMBER(G664)),ROUND(F664*G664,0),H664)</x:f>
        <x:v>0</x:v>
      </x:c>
      <x:c r="J664" s="54" t="n">
        <x:f>I664-H664</x:f>
        <x:v>0</x:v>
      </x:c>
      <x:c r="K664" s="51" t="str">
        <x:v>Багцын задаргаа</x:v>
      </x:c>
      <x:c r="L664" s="51" t="str">
        <x:f>IF(J664=0,"OK","Шалгах")</x:f>
        <x:v>OK</x:v>
      </x:c>
      <x:c r="M664" s="51" t="str">
        <x:v>Цахилгаан</x:v>
      </x:c>
      <x:c r="N664" s="51" t="n">
        <x:v>61</x:v>
      </x:c>
    </x:row>
    <x:row r="665">
      <x:c r="A665" s="51" t="str">
        <x:v>MAT-6R-0651</x:v>
      </x:c>
      <x:c r="B665" s="52" t="str">
        <x:v>ЦАХИЛГААНЫ САМБАР</x:v>
      </x:c>
      <x:c r="C665" s="52" t="str">
        <x:v>3 фазын шугамын автомат</x:v>
      </x:c>
      <x:c r="D665" s="52" t="str">
        <x:v>ВА88.32.3Р-100А</x:v>
      </x:c>
      <x:c r="E665" s="52" t="str">
        <x:v>ш</x:v>
      </x:c>
      <x:c r="F665" s="53" t="n">
        <x:v>32</x:v>
      </x:c>
      <x:c r="G665" s="54" t="n">
        <x:v>85680</x:v>
      </x:c>
      <x:c r="H665" s="54" t="n">
        <x:v>2741760</x:v>
      </x:c>
      <x:c r="I665" s="54" t="n">
        <x:f>IF(AND(ISNUMBER(F665),ISNUMBER(G665)),ROUND(F665*G665,0),H665)</x:f>
        <x:v>2741760</x:v>
      </x:c>
      <x:c r="J665" s="54" t="n">
        <x:f>I665-H665</x:f>
        <x:v>0</x:v>
      </x:c>
      <x:c r="K665" s="51" t="str">
        <x:v>Багцын задаргаа</x:v>
      </x:c>
      <x:c r="L665" s="51" t="str">
        <x:f>IF(J665=0,"OK","Шалгах")</x:f>
        <x:v>OK</x:v>
      </x:c>
      <x:c r="M665" s="51" t="str">
        <x:v>Цахилгаан</x:v>
      </x:c>
      <x:c r="N665" s="51" t="n">
        <x:v>62</x:v>
      </x:c>
    </x:row>
    <x:row r="666">
      <x:c r="A666" s="51" t="str">
        <x:v>MAT-6R-0652</x:v>
      </x:c>
      <x:c r="B666" s="52" t="str">
        <x:v>ЦАХИЛГААНЫ САМБАР</x:v>
      </x:c>
      <x:c r="C666" s="52" t="str">
        <x:v>N, PE -ын клем</x:v>
      </x:c>
      <x:c r="D666" s="52" t="str">
        <x:v>160А</x:v>
      </x:c>
      <x:c r="E666" s="52" t="str">
        <x:v>комп</x:v>
      </x:c>
      <x:c r="F666" s="53" t="n">
        <x:v>1</x:v>
      </x:c>
      <x:c r="G666" s="54" t="n">
        <x:v>15480</x:v>
      </x:c>
      <x:c r="H666" s="54" t="n">
        <x:v>15480</x:v>
      </x:c>
      <x:c r="I666" s="54" t="n">
        <x:f>IF(AND(ISNUMBER(F666),ISNUMBER(G666)),ROUND(F666*G666,0),H666)</x:f>
        <x:v>15480</x:v>
      </x:c>
      <x:c r="J666" s="54" t="n">
        <x:f>I666-H666</x:f>
        <x:v>0</x:v>
      </x:c>
      <x:c r="K666" s="51" t="str">
        <x:v>Багцын задаргаа</x:v>
      </x:c>
      <x:c r="L666" s="51" t="str">
        <x:f>IF(J666=0,"OK","Шалгах")</x:f>
        <x:v>OK</x:v>
      </x:c>
      <x:c r="M666" s="51" t="str">
        <x:v>Цахилгаан</x:v>
      </x:c>
      <x:c r="N666" s="51" t="n">
        <x:v>63</x:v>
      </x:c>
    </x:row>
    <x:row r="667">
      <x:c r="A667" s="51" t="str">
        <x:v>MAT-6R-0653</x:v>
      </x:c>
      <x:c r="B667" s="52" t="str">
        <x:v>ЦАХИЛГААНЫ САМБАР</x:v>
      </x:c>
      <x:c r="C667" s="52" t="str">
        <x:v>Далд тоноглох, гэрэлтүүлгийн хуванцар самбар хамгаалалтын</x:v>
      </x:c>
      <x:c r="D667" s="52" t="str">
        <x:v>ЩРв-18з модултай</x:v>
      </x:c>
      <x:c r="E667" s="52" t="str">
        <x:v>комп</x:v>
      </x:c>
      <x:c r="F667" s="53" t="n">
        <x:v>123</x:v>
      </x:c>
      <x:c r="G667" s="54" t="n">
        <x:v>72630</x:v>
      </x:c>
      <x:c r="H667" s="54" t="n">
        <x:v>8933490</x:v>
      </x:c>
      <x:c r="I667" s="54" t="n">
        <x:f>IF(AND(ISNUMBER(F667),ISNUMBER(G667)),ROUND(F667*G667,0),H667)</x:f>
        <x:v>8933490</x:v>
      </x:c>
      <x:c r="J667" s="54" t="n">
        <x:f>I667-H667</x:f>
        <x:v>0</x:v>
      </x:c>
      <x:c r="K667" s="51" t="str">
        <x:v>Багцын задаргаа</x:v>
      </x:c>
      <x:c r="L667" s="51" t="str">
        <x:f>IF(J667=0,"OK","Шалгах")</x:f>
        <x:v>OK</x:v>
      </x:c>
      <x:c r="M667" s="51" t="str">
        <x:v>Цахилгаан</x:v>
      </x:c>
      <x:c r="N667" s="51" t="n">
        <x:v>66</x:v>
      </x:c>
    </x:row>
    <x:row r="668">
      <x:c r="A668" s="51" t="str">
        <x:v>MAT-6R-0654</x:v>
      </x:c>
      <x:c r="B668" s="52" t="str">
        <x:v>ЦАХИЛГААНЫ САМБАР</x:v>
      </x:c>
      <x:c r="C668" s="52" t="str">
        <x:v>Холбооны самбар</x:v>
      </x:c>
      <x:c r="D668" s="52" t="str">
        <x:v>18 модултай</x:v>
      </x:c>
      <x:c r="E668" s="52" t="str"/>
      <x:c r="F668" s="53"/>
      <x:c r="G668" s="54"/>
      <x:c r="H668" s="54" t="n">
        <x:v>0</x:v>
      </x:c>
      <x:c r="I668" s="54" t="n">
        <x:f>IF(AND(ISNUMBER(F668),ISNUMBER(G668)),ROUND(F668*G668,0),H668)</x:f>
        <x:v>0</x:v>
      </x:c>
      <x:c r="J668" s="54" t="n">
        <x:f>I668-H668</x:f>
        <x:v>0</x:v>
      </x:c>
      <x:c r="K668" s="51" t="str">
        <x:v>Багцын задаргаа</x:v>
      </x:c>
      <x:c r="L668" s="51" t="str">
        <x:f>IF(J668=0,"OK","Шалгах")</x:f>
        <x:v>OK</x:v>
      </x:c>
      <x:c r="M668" s="51" t="str">
        <x:v>Цахилгаан</x:v>
      </x:c>
      <x:c r="N668" s="51" t="n">
        <x:v>67</x:v>
      </x:c>
    </x:row>
    <x:row r="669">
      <x:c r="A669" s="51" t="str">
        <x:v>MAT-6R-0655</x:v>
      </x:c>
      <x:c r="B669" s="52" t="str">
        <x:v>ЦАХИЛГААНЫ САМБАР</x:v>
      </x:c>
      <x:c r="C669" s="52" t="str">
        <x:v>ВА47.29.2Р шугамын автомат, характристика В</x:v>
      </x:c>
      <x:c r="D669" s="52" t="str">
        <x:v>16А</x:v>
      </x:c>
      <x:c r="E669" s="52" t="str">
        <x:v>ш</x:v>
      </x:c>
      <x:c r="F669" s="53" t="n">
        <x:v>123</x:v>
      </x:c>
      <x:c r="G669" s="54" t="n">
        <x:v>8550</x:v>
      </x:c>
      <x:c r="H669" s="54" t="n">
        <x:v>1051650</x:v>
      </x:c>
      <x:c r="I669" s="54" t="n">
        <x:f>IF(AND(ISNUMBER(F669),ISNUMBER(G669)),ROUND(F669*G669,0),H669)</x:f>
        <x:v>1051650</x:v>
      </x:c>
      <x:c r="J669" s="54" t="n">
        <x:f>I669-H669</x:f>
        <x:v>0</x:v>
      </x:c>
      <x:c r="K669" s="51" t="str">
        <x:v>Багцын задаргаа</x:v>
      </x:c>
      <x:c r="L669" s="51" t="str">
        <x:f>IF(J669=0,"OK","Шалгах")</x:f>
        <x:v>OK</x:v>
      </x:c>
      <x:c r="M669" s="51" t="str">
        <x:v>Цахилгаан</x:v>
      </x:c>
      <x:c r="N669" s="51" t="n">
        <x:v>68</x:v>
      </x:c>
    </x:row>
    <x:row r="670">
      <x:c r="A670" s="51" t="str">
        <x:v>MAT-6R-0656</x:v>
      </x:c>
      <x:c r="B670" s="52" t="str">
        <x:v>ЦАХИЛГААНЫ САМБАР</x:v>
      </x:c>
      <x:c r="C670" s="52" t="str">
        <x:v>Газардуулгийн гүйдэл мэдрэгчтэй автомат, характристика С</x:v>
      </x:c>
      <x:c r="D670" s="52" t="str">
        <x:v>АД12.2Р-40А/30мА</x:v>
      </x:c>
      <x:c r="E670" s="52" t="str">
        <x:v>ш</x:v>
      </x:c>
      <x:c r="F670" s="53" t="n">
        <x:v>123</x:v>
      </x:c>
      <x:c r="G670" s="54" t="n">
        <x:v>22860</x:v>
      </x:c>
      <x:c r="H670" s="54" t="n">
        <x:v>2811780</x:v>
      </x:c>
      <x:c r="I670" s="54" t="n">
        <x:f>IF(AND(ISNUMBER(F670),ISNUMBER(G670)),ROUND(F670*G670,0),H670)</x:f>
        <x:v>2811780</x:v>
      </x:c>
      <x:c r="J670" s="54" t="n">
        <x:f>I670-H670</x:f>
        <x:v>0</x:v>
      </x:c>
      <x:c r="K670" s="51" t="str">
        <x:v>Багцын задаргаа</x:v>
      </x:c>
      <x:c r="L670" s="51" t="str">
        <x:f>IF(J670=0,"OK","Шалгах")</x:f>
        <x:v>OK</x:v>
      </x:c>
      <x:c r="M670" s="51" t="str">
        <x:v>Цахилгаан</x:v>
      </x:c>
      <x:c r="N670" s="51" t="n">
        <x:v>69</x:v>
      </x:c>
    </x:row>
    <x:row r="671">
      <x:c r="A671" s="51" t="str">
        <x:v>MAT-6R-0657</x:v>
      </x:c>
      <x:c r="B671" s="52" t="str">
        <x:v>ЦАХИЛГААНЫ САМБАР</x:v>
      </x:c>
      <x:c r="C671" s="52" t="str">
        <x:v>Газардуулгийн гүйдэл мэдрэгчтэй автомат, характристика С</x:v>
      </x:c>
      <x:c r="D671" s="52" t="str">
        <x:v>АД12.2Р-16А/30мА</x:v>
      </x:c>
      <x:c r="E671" s="52" t="str">
        <x:v>ш</x:v>
      </x:c>
      <x:c r="F671" s="53" t="n">
        <x:v>246</x:v>
      </x:c>
      <x:c r="G671" s="54" t="n">
        <x:v>22860</x:v>
      </x:c>
      <x:c r="H671" s="54" t="n">
        <x:v>5623560</x:v>
      </x:c>
      <x:c r="I671" s="54" t="n">
        <x:f>IF(AND(ISNUMBER(F671),ISNUMBER(G671)),ROUND(F671*G671,0),H671)</x:f>
        <x:v>5623560</x:v>
      </x:c>
      <x:c r="J671" s="54" t="n">
        <x:f>I671-H671</x:f>
        <x:v>0</x:v>
      </x:c>
      <x:c r="K671" s="51" t="str">
        <x:v>Багцын задаргаа</x:v>
      </x:c>
      <x:c r="L671" s="51" t="str">
        <x:f>IF(J671=0,"OK","Шалгах")</x:f>
        <x:v>OK</x:v>
      </x:c>
      <x:c r="M671" s="51" t="str">
        <x:v>Цахилгаан</x:v>
      </x:c>
      <x:c r="N671" s="51" t="n">
        <x:v>70</x:v>
      </x:c>
    </x:row>
    <x:row r="672">
      <x:c r="A672" s="51" t="str">
        <x:v>MAT-6R-0658</x:v>
      </x:c>
      <x:c r="B672" s="52" t="str">
        <x:v>ЦАХИЛГААНЫ САМБАР</x:v>
      </x:c>
      <x:c r="C672" s="52" t="str">
        <x:v>Газардуулгийн гүйдэл мэдрэгчтэй автомат, характристика С</x:v>
      </x:c>
      <x:c r="D672" s="52" t="str">
        <x:v>АД12.2Р-16А/10мА</x:v>
      </x:c>
      <x:c r="E672" s="52" t="str">
        <x:v>ш</x:v>
      </x:c>
      <x:c r="F672" s="53" t="n">
        <x:v>123</x:v>
      </x:c>
      <x:c r="G672" s="54" t="n">
        <x:v>25560</x:v>
      </x:c>
      <x:c r="H672" s="54" t="n">
        <x:v>3143880</x:v>
      </x:c>
      <x:c r="I672" s="54" t="n">
        <x:f>IF(AND(ISNUMBER(F672),ISNUMBER(G672)),ROUND(F672*G672,0),H672)</x:f>
        <x:v>3143880</x:v>
      </x:c>
      <x:c r="J672" s="54" t="n">
        <x:f>I672-H672</x:f>
        <x:v>0</x:v>
      </x:c>
      <x:c r="K672" s="51" t="str">
        <x:v>Багцын задаргаа</x:v>
      </x:c>
      <x:c r="L672" s="51" t="str">
        <x:f>IF(J672=0,"OK","Шалгах")</x:f>
        <x:v>OK</x:v>
      </x:c>
      <x:c r="M672" s="51" t="str">
        <x:v>Цахилгаан</x:v>
      </x:c>
      <x:c r="N672" s="51" t="n">
        <x:v>71</x:v>
      </x:c>
    </x:row>
    <x:row r="673">
      <x:c r="A673" s="51" t="str">
        <x:v>MAT-6R-0659</x:v>
      </x:c>
      <x:c r="B673" s="52" t="str">
        <x:v>ЦАХИЛГААНЫ САМБАР</x:v>
      </x:c>
      <x:c r="C673" s="52" t="str">
        <x:v>Фазын клем</x:v>
      </x:c>
      <x:c r="D673" s="52" t="str">
        <x:v>100А</x:v>
      </x:c>
      <x:c r="E673" s="52" t="str">
        <x:v>комп</x:v>
      </x:c>
      <x:c r="F673" s="53" t="n">
        <x:v>123</x:v>
      </x:c>
      <x:c r="G673" s="54"/>
      <x:c r="H673" s="54" t="n">
        <x:v>0</x:v>
      </x:c>
      <x:c r="I673" s="54" t="n">
        <x:f>IF(AND(ISNUMBER(F673),ISNUMBER(G673)),ROUND(F673*G673,0),H673)</x:f>
        <x:v>0</x:v>
      </x:c>
      <x:c r="J673" s="54" t="n">
        <x:f>I673-H673</x:f>
        <x:v>0</x:v>
      </x:c>
      <x:c r="K673" s="51" t="str">
        <x:v>Багцын задаргаа</x:v>
      </x:c>
      <x:c r="L673" s="51" t="str">
        <x:f>IF(J673=0,"OK","Шалгах")</x:f>
        <x:v>OK</x:v>
      </x:c>
      <x:c r="M673" s="51" t="str">
        <x:v>Цахилгаан</x:v>
      </x:c>
      <x:c r="N673" s="51" t="n">
        <x:v>72</x:v>
      </x:c>
    </x:row>
    <x:row r="674">
      <x:c r="A674" s="51" t="str">
        <x:v>MAT-6R-0660</x:v>
      </x:c>
      <x:c r="B674" s="52" t="str">
        <x:v>ЦАХИЛГААНЫ САМБАР</x:v>
      </x:c>
      <x:c r="C674" s="52" t="str">
        <x:v>N, PE-ын клем</x:v>
      </x:c>
      <x:c r="D674" s="52" t="str">
        <x:v>100А</x:v>
      </x:c>
      <x:c r="E674" s="52" t="str">
        <x:v>комп</x:v>
      </x:c>
      <x:c r="F674" s="53" t="n">
        <x:v>123</x:v>
      </x:c>
      <x:c r="G674" s="54" t="n">
        <x:v>10500</x:v>
      </x:c>
      <x:c r="H674" s="54" t="n">
        <x:v>1291500</x:v>
      </x:c>
      <x:c r="I674" s="54" t="n">
        <x:f>IF(AND(ISNUMBER(F674),ISNUMBER(G674)),ROUND(F674*G674,0),H674)</x:f>
        <x:v>1291500</x:v>
      </x:c>
      <x:c r="J674" s="54" t="n">
        <x:f>I674-H674</x:f>
        <x:v>0</x:v>
      </x:c>
      <x:c r="K674" s="51" t="str">
        <x:v>Багцын задаргаа</x:v>
      </x:c>
      <x:c r="L674" s="51" t="str">
        <x:f>IF(J674=0,"OK","Шалгах")</x:f>
        <x:v>OK</x:v>
      </x:c>
      <x:c r="M674" s="51" t="str">
        <x:v>Цахилгаан</x:v>
      </x:c>
      <x:c r="N674" s="51" t="n">
        <x:v>73</x:v>
      </x:c>
    </x:row>
    <x:row r="675">
      <x:c r="A675" s="51" t="str">
        <x:v>MAT-6R-0661</x:v>
      </x:c>
      <x:c r="B675" s="52" t="str">
        <x:v>ЦАХИЛГААНЫ САМБАР</x:v>
      </x:c>
      <x:c r="C675" s="52" t="str">
        <x:v>ШИН</x:v>
      </x:c>
      <x:c r="D675" s="52" t="str"/>
      <x:c r="E675" s="52" t="str">
        <x:v>М</x:v>
      </x:c>
      <x:c r="F675" s="53" t="n">
        <x:v>3</x:v>
      </x:c>
      <x:c r="G675" s="54" t="n">
        <x:v>10500</x:v>
      </x:c>
      <x:c r="H675" s="54" t="n">
        <x:v>31500</x:v>
      </x:c>
      <x:c r="I675" s="54" t="n">
        <x:f>IF(AND(ISNUMBER(F675),ISNUMBER(G675)),ROUND(F675*G675,0),H675)</x:f>
        <x:v>31500</x:v>
      </x:c>
      <x:c r="J675" s="54" t="n">
        <x:f>I675-H675</x:f>
        <x:v>0</x:v>
      </x:c>
      <x:c r="K675" s="51" t="str">
        <x:v>Багцын задаргаа</x:v>
      </x:c>
      <x:c r="L675" s="51" t="str">
        <x:f>IF(J675=0,"OK","Шалгах")</x:f>
        <x:v>OK</x:v>
      </x:c>
      <x:c r="M675" s="51" t="str">
        <x:v>Цахилгаан</x:v>
      </x:c>
      <x:c r="N675" s="51" t="n">
        <x:v>74</x:v>
      </x:c>
    </x:row>
    <x:row r="676">
      <x:c r="A676" s="51" t="str">
        <x:v>MAT-6R-0662</x:v>
      </x:c>
      <x:c r="B676" s="52" t="str">
        <x:v>ЦАХИЛГААНЫ САМБАР</x:v>
      </x:c>
      <x:c r="C676" s="52" t="str">
        <x:v>BBKIT</x:v>
      </x:c>
      <x:c r="D676" s="52" t="str"/>
      <x:c r="E676" s="52" t="str">
        <x:v>ш</x:v>
      </x:c>
      <x:c r="F676" s="53" t="n">
        <x:v>6</x:v>
      </x:c>
      <x:c r="G676" s="54" t="n">
        <x:v>1800</x:v>
      </x:c>
      <x:c r="H676" s="54" t="n">
        <x:v>10800</x:v>
      </x:c>
      <x:c r="I676" s="54" t="n">
        <x:f>IF(AND(ISNUMBER(F676),ISNUMBER(G676)),ROUND(F676*G676,0),H676)</x:f>
        <x:v>10800</x:v>
      </x:c>
      <x:c r="J676" s="54" t="n">
        <x:f>I676-H676</x:f>
        <x:v>0</x:v>
      </x:c>
      <x:c r="K676" s="51" t="str">
        <x:v>Багцын задаргаа</x:v>
      </x:c>
      <x:c r="L676" s="51" t="str">
        <x:f>IF(J676=0,"OK","Шалгах")</x:f>
        <x:v>OK</x:v>
      </x:c>
      <x:c r="M676" s="51" t="str">
        <x:v>Цахилгаан</x:v>
      </x:c>
      <x:c r="N676" s="51" t="n">
        <x:v>75</x:v>
      </x:c>
    </x:row>
    <x:row r="677">
      <x:c r="A677" s="51" t="str">
        <x:v>MAT-6R-0663</x:v>
      </x:c>
      <x:c r="B677" s="52" t="str">
        <x:v>ЦАХИЛГААНЫ САМБАР</x:v>
      </x:c>
      <x:c r="C677" s="52" t="str">
        <x:v>3 Тоолууртай ил тоноглох төмөр самбар (IP31)</x:v>
      </x:c>
      <x:c r="D677" s="52" t="str">
        <x:v>ЩМП 800х650х250 мм</x:v>
      </x:c>
      <x:c r="E677" s="52" t="str">
        <x:v>комп</x:v>
      </x:c>
      <x:c r="F677" s="53" t="n">
        <x:v>4</x:v>
      </x:c>
      <x:c r="G677" s="54" t="n">
        <x:v>432620</x:v>
      </x:c>
      <x:c r="H677" s="54" t="n">
        <x:v>1730480</x:v>
      </x:c>
      <x:c r="I677" s="54" t="n">
        <x:f>IF(AND(ISNUMBER(F677),ISNUMBER(G677)),ROUND(F677*G677,0),H677)</x:f>
        <x:v>1730480</x:v>
      </x:c>
      <x:c r="J677" s="54" t="n">
        <x:f>I677-H677</x:f>
        <x:v>0</x:v>
      </x:c>
      <x:c r="K677" s="51" t="str">
        <x:v>Багцын задаргаа</x:v>
      </x:c>
      <x:c r="L677" s="51" t="str">
        <x:f>IF(J677=0,"OK","Шалгах")</x:f>
        <x:v>OK</x:v>
      </x:c>
      <x:c r="M677" s="51" t="str">
        <x:v>Цахилгаан</x:v>
      </x:c>
      <x:c r="N677" s="51" t="n">
        <x:v>77</x:v>
      </x:c>
    </x:row>
    <x:row r="678">
      <x:c r="A678" s="51" t="str">
        <x:v>MAT-6R-0664</x:v>
      </x:c>
      <x:c r="B678" s="52" t="str">
        <x:v>ЦАХИЛГААНЫ САМБАР</x:v>
      </x:c>
      <x:c r="C678" s="52" t="str">
        <x:v>7 Тоолууртай ил тоноглох төмөр самбар (IP31)</x:v>
      </x:c>
      <x:c r="D678" s="52" t="str">
        <x:v>ЩМП 1000х650х250 мм</x:v>
      </x:c>
      <x:c r="E678" s="52" t="str">
        <x:v>комп</x:v>
      </x:c>
      <x:c r="F678" s="53" t="n">
        <x:v>1</x:v>
      </x:c>
      <x:c r="G678" s="54" t="n">
        <x:v>432620</x:v>
      </x:c>
      <x:c r="H678" s="54" t="n">
        <x:v>432620</x:v>
      </x:c>
      <x:c r="I678" s="54" t="n">
        <x:f>IF(AND(ISNUMBER(F678),ISNUMBER(G678)),ROUND(F678*G678,0),H678)</x:f>
        <x:v>432620</x:v>
      </x:c>
      <x:c r="J678" s="54" t="n">
        <x:f>I678-H678</x:f>
        <x:v>0</x:v>
      </x:c>
      <x:c r="K678" s="51" t="str">
        <x:v>Багцын задаргаа</x:v>
      </x:c>
      <x:c r="L678" s="51" t="str">
        <x:f>IF(J678=0,"OK","Шалгах")</x:f>
        <x:v>OK</x:v>
      </x:c>
      <x:c r="M678" s="51" t="str">
        <x:v>Цахилгаан</x:v>
      </x:c>
      <x:c r="N678" s="51" t="n">
        <x:v>78</x:v>
      </x:c>
    </x:row>
    <x:row r="679">
      <x:c r="A679" s="51" t="str">
        <x:v>MAT-6R-0665</x:v>
      </x:c>
      <x:c r="B679" s="52" t="str">
        <x:v>ЦАХИЛГААНЫ САМБАР</x:v>
      </x:c>
      <x:c r="C679" s="52" t="str">
        <x:v>8 Тоолууртай ил тоноглох төмөр самбар (IP31)</x:v>
      </x:c>
      <x:c r="D679" s="52" t="str">
        <x:v>ЩМП 1000х650х250 мм</x:v>
      </x:c>
      <x:c r="E679" s="52" t="str">
        <x:v>комп</x:v>
      </x:c>
      <x:c r="F679" s="53" t="n">
        <x:v>1</x:v>
      </x:c>
      <x:c r="G679" s="54" t="n">
        <x:v>432620</x:v>
      </x:c>
      <x:c r="H679" s="54" t="n">
        <x:v>432620</x:v>
      </x:c>
      <x:c r="I679" s="54" t="n">
        <x:f>IF(AND(ISNUMBER(F679),ISNUMBER(G679)),ROUND(F679*G679,0),H679)</x:f>
        <x:v>432620</x:v>
      </x:c>
      <x:c r="J679" s="54" t="n">
        <x:f>I679-H679</x:f>
        <x:v>0</x:v>
      </x:c>
      <x:c r="K679" s="51" t="str">
        <x:v>Багцын задаргаа</x:v>
      </x:c>
      <x:c r="L679" s="51" t="str">
        <x:f>IF(J679=0,"OK","Шалгах")</x:f>
        <x:v>OK</x:v>
      </x:c>
      <x:c r="M679" s="51" t="str">
        <x:v>Цахилгаан</x:v>
      </x:c>
      <x:c r="N679" s="51" t="n">
        <x:v>79</x:v>
      </x:c>
    </x:row>
    <x:row r="680">
      <x:c r="A680" s="51" t="str">
        <x:v>MAT-6R-0666</x:v>
      </x:c>
      <x:c r="B680" s="52" t="str">
        <x:v>ЦАХИЛГААНЫ САМБАР</x:v>
      </x:c>
      <x:c r="C680" s="52" t="str">
        <x:v>36 модултай, далд, хуванцар самбар</x:v>
      </x:c>
      <x:c r="D680" s="52" t="str">
        <x:v>ЩРв-П-24з</x:v>
      </x:c>
      <x:c r="E680" s="52" t="str">
        <x:v>комп</x:v>
      </x:c>
      <x:c r="F680" s="53" t="n">
        <x:v>5</x:v>
      </x:c>
      <x:c r="G680" s="54" t="n">
        <x:v>137340</x:v>
      </x:c>
      <x:c r="H680" s="54" t="n">
        <x:v>686700</x:v>
      </x:c>
      <x:c r="I680" s="54" t="n">
        <x:f>IF(AND(ISNUMBER(F680),ISNUMBER(G680)),ROUND(F680*G680,0),H680)</x:f>
        <x:v>686700</x:v>
      </x:c>
      <x:c r="J680" s="54" t="n">
        <x:f>I680-H680</x:f>
        <x:v>0</x:v>
      </x:c>
      <x:c r="K680" s="51" t="str">
        <x:v>Багцын задаргаа</x:v>
      </x:c>
      <x:c r="L680" s="51" t="str">
        <x:f>IF(J680=0,"OK","Шалгах")</x:f>
        <x:v>OK</x:v>
      </x:c>
      <x:c r="M680" s="51" t="str">
        <x:v>Цахилгаан</x:v>
      </x:c>
      <x:c r="N680" s="51" t="n">
        <x:v>80</x:v>
      </x:c>
    </x:row>
    <x:row r="681">
      <x:c r="A681" s="51" t="str">
        <x:v>MAT-6R-0667</x:v>
      </x:c>
      <x:c r="B681" s="52" t="str">
        <x:v>ЦАХИЛГААНЫ САМБАР</x:v>
      </x:c>
      <x:c r="C681" s="52" t="str">
        <x:v>ВА47.100.4Р шугамын автомат, характристика C</x:v>
      </x:c>
      <x:c r="D681" s="52" t="str">
        <x:v>32А</x:v>
      </x:c>
      <x:c r="E681" s="52" t="str">
        <x:v>ш</x:v>
      </x:c>
      <x:c r="F681" s="53" t="n">
        <x:v>5</x:v>
      </x:c>
      <x:c r="G681" s="54" t="n">
        <x:v>54720</x:v>
      </x:c>
      <x:c r="H681" s="54" t="n">
        <x:v>273600</x:v>
      </x:c>
      <x:c r="I681" s="54" t="n">
        <x:f>IF(AND(ISNUMBER(F681),ISNUMBER(G681)),ROUND(F681*G681,0),H681)</x:f>
        <x:v>273600</x:v>
      </x:c>
      <x:c r="J681" s="54" t="n">
        <x:f>I681-H681</x:f>
        <x:v>0</x:v>
      </x:c>
      <x:c r="K681" s="51" t="str">
        <x:v>Багцын задаргаа</x:v>
      </x:c>
      <x:c r="L681" s="51" t="str">
        <x:f>IF(J681=0,"OK","Шалгах")</x:f>
        <x:v>OK</x:v>
      </x:c>
      <x:c r="M681" s="51" t="str">
        <x:v>Цахилгаан</x:v>
      </x:c>
      <x:c r="N681" s="51" t="n">
        <x:v>81</x:v>
      </x:c>
    </x:row>
    <x:row r="682">
      <x:c r="A682" s="51" t="str">
        <x:v>MAT-6R-0668</x:v>
      </x:c>
      <x:c r="B682" s="52" t="str">
        <x:v>ЦАХИЛГААНЫ САМБАР</x:v>
      </x:c>
      <x:c r="C682" s="52" t="str">
        <x:v>ВА47.29.4Р шугамын автомат, характристика C</x:v>
      </x:c>
      <x:c r="D682" s="52" t="str">
        <x:v>25А</x:v>
      </x:c>
      <x:c r="E682" s="52" t="str">
        <x:v>ш</x:v>
      </x:c>
      <x:c r="F682" s="53" t="n">
        <x:v>5</x:v>
      </x:c>
      <x:c r="G682" s="54" t="n">
        <x:v>17190</x:v>
      </x:c>
      <x:c r="H682" s="54" t="n">
        <x:v>85950</x:v>
      </x:c>
      <x:c r="I682" s="54" t="n">
        <x:f>IF(AND(ISNUMBER(F682),ISNUMBER(G682)),ROUND(F682*G682,0),H682)</x:f>
        <x:v>85950</x:v>
      </x:c>
      <x:c r="J682" s="54" t="n">
        <x:f>I682-H682</x:f>
        <x:v>0</x:v>
      </x:c>
      <x:c r="K682" s="51" t="str">
        <x:v>Багцын задаргаа</x:v>
      </x:c>
      <x:c r="L682" s="51" t="str">
        <x:f>IF(J682=0,"OK","Шалгах")</x:f>
        <x:v>OK</x:v>
      </x:c>
      <x:c r="M682" s="51" t="str">
        <x:v>Цахилгаан</x:v>
      </x:c>
      <x:c r="N682" s="51" t="n">
        <x:v>82</x:v>
      </x:c>
    </x:row>
    <x:row r="683">
      <x:c r="A683" s="51" t="str">
        <x:v>MAT-6R-0669</x:v>
      </x:c>
      <x:c r="B683" s="52" t="str">
        <x:v>ЦАХИЛГААНЫ САМБАР</x:v>
      </x:c>
      <x:c r="C683" s="52" t="str">
        <x:v>ВА47.29.2Р шугамын автомат, характристика В</x:v>
      </x:c>
      <x:c r="D683" s="52" t="str">
        <x:v>16А</x:v>
      </x:c>
      <x:c r="E683" s="52" t="str">
        <x:v>ш</x:v>
      </x:c>
      <x:c r="F683" s="53" t="n">
        <x:v>10</x:v>
      </x:c>
      <x:c r="G683" s="54" t="n">
        <x:v>8550</x:v>
      </x:c>
      <x:c r="H683" s="54" t="n">
        <x:v>85500</x:v>
      </x:c>
      <x:c r="I683" s="54" t="n">
        <x:f>IF(AND(ISNUMBER(F683),ISNUMBER(G683)),ROUND(F683*G683,0),H683)</x:f>
        <x:v>85500</x:v>
      </x:c>
      <x:c r="J683" s="54" t="n">
        <x:f>I683-H683</x:f>
        <x:v>0</x:v>
      </x:c>
      <x:c r="K683" s="51" t="str">
        <x:v>Багцын задаргаа</x:v>
      </x:c>
      <x:c r="L683" s="51" t="str">
        <x:f>IF(J683=0,"OK","Шалгах")</x:f>
        <x:v>OK</x:v>
      </x:c>
      <x:c r="M683" s="51" t="str">
        <x:v>Цахилгаан</x:v>
      </x:c>
      <x:c r="N683" s="51" t="n">
        <x:v>83</x:v>
      </x:c>
    </x:row>
    <x:row r="684">
      <x:c r="A684" s="51" t="str">
        <x:v>MAT-6R-0670</x:v>
      </x:c>
      <x:c r="B684" s="52" t="str">
        <x:v>ЦАХИЛГААНЫ САМБАР</x:v>
      </x:c>
      <x:c r="C684" s="52" t="str">
        <x:v>Газардуулгийн гүйдэл мэдрэгчтэй автомат, характристика С</x:v>
      </x:c>
      <x:c r="D684" s="52" t="str">
        <x:v>АД12.2Р-16А/10мА</x:v>
      </x:c>
      <x:c r="E684" s="52" t="str">
        <x:v>ш</x:v>
      </x:c>
      <x:c r="F684" s="53" t="n">
        <x:v>5</x:v>
      </x:c>
      <x:c r="G684" s="54" t="n">
        <x:v>25560</x:v>
      </x:c>
      <x:c r="H684" s="54" t="n">
        <x:v>127800</x:v>
      </x:c>
      <x:c r="I684" s="54" t="n">
        <x:f>IF(AND(ISNUMBER(F684),ISNUMBER(G684)),ROUND(F684*G684,0),H684)</x:f>
        <x:v>127800</x:v>
      </x:c>
      <x:c r="J684" s="54" t="n">
        <x:f>I684-H684</x:f>
        <x:v>0</x:v>
      </x:c>
      <x:c r="K684" s="51" t="str">
        <x:v>Багцын задаргаа</x:v>
      </x:c>
      <x:c r="L684" s="51" t="str">
        <x:f>IF(J684=0,"OK","Шалгах")</x:f>
        <x:v>OK</x:v>
      </x:c>
      <x:c r="M684" s="51" t="str">
        <x:v>Цахилгаан</x:v>
      </x:c>
      <x:c r="N684" s="51" t="n">
        <x:v>84</x:v>
      </x:c>
    </x:row>
    <x:row r="685">
      <x:c r="A685" s="51" t="str">
        <x:v>MAT-6R-0671</x:v>
      </x:c>
      <x:c r="B685" s="52" t="str">
        <x:v>ЦАХИЛГААНЫ САМБАР</x:v>
      </x:c>
      <x:c r="C685" s="52" t="str">
        <x:v>Газардуулгийн гүйдэл мэдрэгчтэй автомат, характристика С</x:v>
      </x:c>
      <x:c r="D685" s="52" t="str">
        <x:v>АД12.2Р-16А/30мА</x:v>
      </x:c>
      <x:c r="E685" s="52" t="str">
        <x:v>ш</x:v>
      </x:c>
      <x:c r="F685" s="53" t="n">
        <x:v>10</x:v>
      </x:c>
      <x:c r="G685" s="54" t="n">
        <x:v>22860</x:v>
      </x:c>
      <x:c r="H685" s="54" t="n">
        <x:v>228600</x:v>
      </x:c>
      <x:c r="I685" s="54" t="n">
        <x:f>IF(AND(ISNUMBER(F685),ISNUMBER(G685)),ROUND(F685*G685,0),H685)</x:f>
        <x:v>228600</x:v>
      </x:c>
      <x:c r="J685" s="54" t="n">
        <x:f>I685-H685</x:f>
        <x:v>0</x:v>
      </x:c>
      <x:c r="K685" s="51" t="str">
        <x:v>Багцын задаргаа</x:v>
      </x:c>
      <x:c r="L685" s="51" t="str">
        <x:f>IF(J685=0,"OK","Шалгах")</x:f>
        <x:v>OK</x:v>
      </x:c>
      <x:c r="M685" s="51" t="str">
        <x:v>Цахилгаан</x:v>
      </x:c>
      <x:c r="N685" s="51" t="n">
        <x:v>85</x:v>
      </x:c>
    </x:row>
    <x:row r="686">
      <x:c r="A686" s="51" t="str">
        <x:v>MAT-6R-0672</x:v>
      </x:c>
      <x:c r="B686" s="52" t="str">
        <x:v>ЦАХИЛГААНЫ САМБАР</x:v>
      </x:c>
      <x:c r="C686" s="52" t="str">
        <x:v>Хэт хүчдэл хязгаарлагч</x:v>
      </x:c>
      <x:c r="D686" s="52" t="str">
        <x:v>ОПС2-B-2Р</x:v>
      </x:c>
      <x:c r="E686" s="52" t="str">
        <x:v>ш</x:v>
      </x:c>
      <x:c r="F686" s="53" t="n">
        <x:v>5</x:v>
      </x:c>
      <x:c r="G686" s="54"/>
      <x:c r="H686" s="54" t="n">
        <x:v>0</x:v>
      </x:c>
      <x:c r="I686" s="54" t="n">
        <x:f>IF(AND(ISNUMBER(F686),ISNUMBER(G686)),ROUND(F686*G686,0),H686)</x:f>
        <x:v>0</x:v>
      </x:c>
      <x:c r="J686" s="54" t="n">
        <x:f>I686-H686</x:f>
        <x:v>0</x:v>
      </x:c>
      <x:c r="K686" s="51" t="str">
        <x:v>Багцын задаргаа</x:v>
      </x:c>
      <x:c r="L686" s="51" t="str">
        <x:f>IF(J686=0,"OK","Шалгах")</x:f>
        <x:v>OK</x:v>
      </x:c>
      <x:c r="M686" s="51" t="str">
        <x:v>Цахилгаан</x:v>
      </x:c>
      <x:c r="N686" s="51" t="n">
        <x:v>86</x:v>
      </x:c>
    </x:row>
    <x:row r="687">
      <x:c r="A687" s="51" t="str">
        <x:v>MAT-6R-0673</x:v>
      </x:c>
      <x:c r="B687" s="52" t="str">
        <x:v>ЦАХИЛГААНЫ САМБАР</x:v>
      </x:c>
      <x:c r="C687" s="52" t="str">
        <x:v>Фазын шин, N, PE-ын шин</x:v>
      </x:c>
      <x:c r="D687" s="52" t="str">
        <x:v>63А</x:v>
      </x:c>
      <x:c r="E687" s="52" t="str">
        <x:v>ш</x:v>
      </x:c>
      <x:c r="F687" s="53" t="n">
        <x:v>5</x:v>
      </x:c>
      <x:c r="G687" s="54" t="n">
        <x:v>10500</x:v>
      </x:c>
      <x:c r="H687" s="54" t="n">
        <x:v>52500</x:v>
      </x:c>
      <x:c r="I687" s="54" t="n">
        <x:f>IF(AND(ISNUMBER(F687),ISNUMBER(G687)),ROUND(F687*G687,0),H687)</x:f>
        <x:v>52500</x:v>
      </x:c>
      <x:c r="J687" s="54" t="n">
        <x:f>I687-H687</x:f>
        <x:v>0</x:v>
      </x:c>
      <x:c r="K687" s="51" t="str">
        <x:v>Багцын задаргаа</x:v>
      </x:c>
      <x:c r="L687" s="51" t="str">
        <x:f>IF(J687=0,"OK","Шалгах")</x:f>
        <x:v>OK</x:v>
      </x:c>
      <x:c r="M687" s="51" t="str">
        <x:v>Цахилгаан</x:v>
      </x:c>
      <x:c r="N687" s="51" t="n">
        <x:v>87</x:v>
      </x:c>
    </x:row>
    <x:row r="688">
      <x:c r="A688" s="51" t="str">
        <x:v>MAT-6R-0674</x:v>
      </x:c>
      <x:c r="B688" s="52" t="str">
        <x:v>ЦАХИЛГААНЫ САМБАР</x:v>
      </x:c>
      <x:c r="C688" s="52" t="str">
        <x:v>ВА47.100.4Р шугамын автомат, характристика C</x:v>
      </x:c>
      <x:c r="D688" s="52" t="str">
        <x:v>25А</x:v>
      </x:c>
      <x:c r="E688" s="52" t="str">
        <x:v>ш</x:v>
      </x:c>
      <x:c r="F688" s="53" t="n">
        <x:v>1</x:v>
      </x:c>
      <x:c r="G688" s="54" t="n">
        <x:v>54720</x:v>
      </x:c>
      <x:c r="H688" s="54" t="n">
        <x:v>54720</x:v>
      </x:c>
      <x:c r="I688" s="54" t="n">
        <x:f>IF(AND(ISNUMBER(F688),ISNUMBER(G688)),ROUND(F688*G688,0),H688)</x:f>
        <x:v>54720</x:v>
      </x:c>
      <x:c r="J688" s="54" t="n">
        <x:f>I688-H688</x:f>
        <x:v>0</x:v>
      </x:c>
      <x:c r="K688" s="51" t="str">
        <x:v>Багцын задаргаа</x:v>
      </x:c>
      <x:c r="L688" s="51" t="str">
        <x:f>IF(J688=0,"OK","Шалгах")</x:f>
        <x:v>OK</x:v>
      </x:c>
      <x:c r="M688" s="51" t="str">
        <x:v>Цахилгаан</x:v>
      </x:c>
      <x:c r="N688" s="51" t="n">
        <x:v>90</x:v>
      </x:c>
    </x:row>
    <x:row r="689">
      <x:c r="A689" s="51" t="str">
        <x:v>MAT-6R-0675</x:v>
      </x:c>
      <x:c r="B689" s="52" t="str">
        <x:v>ЦАХИЛГААНЫ САМБАР</x:v>
      </x:c>
      <x:c r="C689" s="52" t="str">
        <x:v>ВА47.100.4Р шугамын автомат, характристика C</x:v>
      </x:c>
      <x:c r="D689" s="52" t="str">
        <x:v>16А</x:v>
      </x:c>
      <x:c r="E689" s="52" t="str">
        <x:v>ш</x:v>
      </x:c>
      <x:c r="F689" s="53" t="n">
        <x:v>1</x:v>
      </x:c>
      <x:c r="G689" s="54" t="n">
        <x:v>54720</x:v>
      </x:c>
      <x:c r="H689" s="54" t="n">
        <x:v>54720</x:v>
      </x:c>
      <x:c r="I689" s="54" t="n">
        <x:f>IF(AND(ISNUMBER(F689),ISNUMBER(G689)),ROUND(F689*G689,0),H689)</x:f>
        <x:v>54720</x:v>
      </x:c>
      <x:c r="J689" s="54" t="n">
        <x:f>I689-H689</x:f>
        <x:v>0</x:v>
      </x:c>
      <x:c r="K689" s="51" t="str">
        <x:v>Багцын задаргаа</x:v>
      </x:c>
      <x:c r="L689" s="51" t="str">
        <x:f>IF(J689=0,"OK","Шалгах")</x:f>
        <x:v>OK</x:v>
      </x:c>
      <x:c r="M689" s="51" t="str">
        <x:v>Цахилгаан</x:v>
      </x:c>
      <x:c r="N689" s="51" t="n">
        <x:v>91</x:v>
      </x:c>
    </x:row>
    <x:row r="690">
      <x:c r="A690" s="51" t="str">
        <x:v>MAT-6R-0676</x:v>
      </x:c>
      <x:c r="B690" s="52" t="str">
        <x:v>ЦАХИЛГААНЫ САМБАР</x:v>
      </x:c>
      <x:c r="C690" s="52" t="str">
        <x:v>ВА47.29.2Р шугамын автомат, характристика В</x:v>
      </x:c>
      <x:c r="D690" s="52" t="str">
        <x:v>16А</x:v>
      </x:c>
      <x:c r="E690" s="52" t="str">
        <x:v>ш</x:v>
      </x:c>
      <x:c r="F690" s="53" t="n">
        <x:v>6</x:v>
      </x:c>
      <x:c r="G690" s="54" t="n">
        <x:v>8550</x:v>
      </x:c>
      <x:c r="H690" s="54" t="n">
        <x:v>51300</x:v>
      </x:c>
      <x:c r="I690" s="54" t="n">
        <x:f>IF(AND(ISNUMBER(F690),ISNUMBER(G690)),ROUND(F690*G690,0),H690)</x:f>
        <x:v>51300</x:v>
      </x:c>
      <x:c r="J690" s="54" t="n">
        <x:f>I690-H690</x:f>
        <x:v>0</x:v>
      </x:c>
      <x:c r="K690" s="51" t="str">
        <x:v>Багцын задаргаа</x:v>
      </x:c>
      <x:c r="L690" s="51" t="str">
        <x:f>IF(J690=0,"OK","Шалгах")</x:f>
        <x:v>OK</x:v>
      </x:c>
      <x:c r="M690" s="51" t="str">
        <x:v>Цахилгаан</x:v>
      </x:c>
      <x:c r="N690" s="51" t="n">
        <x:v>92</x:v>
      </x:c>
    </x:row>
    <x:row r="691">
      <x:c r="A691" s="51" t="str">
        <x:v>MAT-6R-0677</x:v>
      </x:c>
      <x:c r="B691" s="52" t="str">
        <x:v>ЦАХИЛГААНЫ САМБАР</x:v>
      </x:c>
      <x:c r="C691" s="52" t="str">
        <x:v>Хэт хүчдэл хязгаарлагч</x:v>
      </x:c>
      <x:c r="D691" s="52" t="str">
        <x:v>ОПС2-B-4Р</x:v>
      </x:c>
      <x:c r="E691" s="52" t="str">
        <x:v>ш</x:v>
      </x:c>
      <x:c r="F691" s="53" t="n">
        <x:v>1</x:v>
      </x:c>
      <x:c r="G691" s="54" t="n">
        <x:v>234000</x:v>
      </x:c>
      <x:c r="H691" s="54" t="n">
        <x:v>234000</x:v>
      </x:c>
      <x:c r="I691" s="54" t="n">
        <x:f>IF(AND(ISNUMBER(F691),ISNUMBER(G691)),ROUND(F691*G691,0),H691)</x:f>
        <x:v>234000</x:v>
      </x:c>
      <x:c r="J691" s="54" t="n">
        <x:f>I691-H691</x:f>
        <x:v>0</x:v>
      </x:c>
      <x:c r="K691" s="51" t="str">
        <x:v>Багцын задаргаа</x:v>
      </x:c>
      <x:c r="L691" s="51" t="str">
        <x:f>IF(J691=0,"OK","Шалгах")</x:f>
        <x:v>OK</x:v>
      </x:c>
      <x:c r="M691" s="51" t="str">
        <x:v>Цахилгаан</x:v>
      </x:c>
      <x:c r="N691" s="51" t="n">
        <x:v>93</x:v>
      </x:c>
    </x:row>
    <x:row r="692">
      <x:c r="A692" s="51" t="str">
        <x:v>MAT-6R-0678</x:v>
      </x:c>
      <x:c r="B692" s="52" t="str">
        <x:v>ЦАХИЛГААНЫ САМБАР</x:v>
      </x:c>
      <x:c r="C692" s="52" t="str">
        <x:v>Фазын шин, N, PE-ын шин</x:v>
      </x:c>
      <x:c r="D692" s="52" t="str">
        <x:v>63А</x:v>
      </x:c>
      <x:c r="E692" s="52" t="str">
        <x:v>комп</x:v>
      </x:c>
      <x:c r="F692" s="53" t="n">
        <x:v>1</x:v>
      </x:c>
      <x:c r="G692" s="54" t="n">
        <x:v>10500</x:v>
      </x:c>
      <x:c r="H692" s="54" t="n">
        <x:v>10500</x:v>
      </x:c>
      <x:c r="I692" s="54" t="n">
        <x:f>IF(AND(ISNUMBER(F692),ISNUMBER(G692)),ROUND(F692*G692,0),H692)</x:f>
        <x:v>10500</x:v>
      </x:c>
      <x:c r="J692" s="54" t="n">
        <x:f>I692-H692</x:f>
        <x:v>0</x:v>
      </x:c>
      <x:c r="K692" s="51" t="str">
        <x:v>Багцын задаргаа</x:v>
      </x:c>
      <x:c r="L692" s="51" t="str">
        <x:f>IF(J692=0,"OK","Шалгах")</x:f>
        <x:v>OK</x:v>
      </x:c>
      <x:c r="M692" s="51" t="str">
        <x:v>Цахилгаан</x:v>
      </x:c>
      <x:c r="N692" s="51" t="n">
        <x:v>94</x:v>
      </x:c>
    </x:row>
    <x:row r="693">
      <x:c r="A693" s="51" t="str">
        <x:v>MAT-6R-0679</x:v>
      </x:c>
      <x:c r="B693" s="52" t="str">
        <x:v>ЦАХИЛГААНЫ САМБАР</x:v>
      </x:c>
      <x:c r="C693" s="52" t="str">
        <x:v>ШИН</x:v>
      </x:c>
      <x:c r="D693" s="52" t="str"/>
      <x:c r="E693" s="52" t="str">
        <x:v>М</x:v>
      </x:c>
      <x:c r="F693" s="53" t="n">
        <x:v>3</x:v>
      </x:c>
      <x:c r="G693" s="54" t="n">
        <x:v>10800</x:v>
      </x:c>
      <x:c r="H693" s="54" t="n">
        <x:v>32400</x:v>
      </x:c>
      <x:c r="I693" s="54" t="n">
        <x:f>IF(AND(ISNUMBER(F693),ISNUMBER(G693)),ROUND(F693*G693,0),H693)</x:f>
        <x:v>32400</x:v>
      </x:c>
      <x:c r="J693" s="54" t="n">
        <x:f>I693-H693</x:f>
        <x:v>0</x:v>
      </x:c>
      <x:c r="K693" s="51" t="str">
        <x:v>Багцын задаргаа</x:v>
      </x:c>
      <x:c r="L693" s="51" t="str">
        <x:f>IF(J693=0,"OK","Шалгах")</x:f>
        <x:v>OK</x:v>
      </x:c>
      <x:c r="M693" s="51" t="str">
        <x:v>Цахилгаан</x:v>
      </x:c>
      <x:c r="N693" s="51" t="n">
        <x:v>95</x:v>
      </x:c>
    </x:row>
    <x:row r="694">
      <x:c r="A694" s="51" t="str">
        <x:v>MAT-6R-0680</x:v>
      </x:c>
      <x:c r="B694" s="52" t="str">
        <x:v>ЦАХИЛГААНЫ САМБАР</x:v>
      </x:c>
      <x:c r="C694" s="52" t="str">
        <x:v>BBKIT</x:v>
      </x:c>
      <x:c r="D694" s="52" t="str"/>
      <x:c r="E694" s="52" t="str">
        <x:v>ш</x:v>
      </x:c>
      <x:c r="F694" s="53" t="n">
        <x:v>6</x:v>
      </x:c>
      <x:c r="G694" s="54" t="n">
        <x:v>1500</x:v>
      </x:c>
      <x:c r="H694" s="54" t="n">
        <x:v>9000</x:v>
      </x:c>
      <x:c r="I694" s="54" t="n">
        <x:f>IF(AND(ISNUMBER(F694),ISNUMBER(G694)),ROUND(F694*G694,0),H694)</x:f>
        <x:v>9000</x:v>
      </x:c>
      <x:c r="J694" s="54" t="n">
        <x:f>I694-H694</x:f>
        <x:v>0</x:v>
      </x:c>
      <x:c r="K694" s="51" t="str">
        <x:v>Багцын задаргаа</x:v>
      </x:c>
      <x:c r="L694" s="51" t="str">
        <x:f>IF(J694=0,"OK","Шалгах")</x:f>
        <x:v>OK</x:v>
      </x:c>
      <x:c r="M694" s="51" t="str">
        <x:v>Цахилгаан</x:v>
      </x:c>
      <x:c r="N694" s="51" t="n">
        <x:v>96</x:v>
      </x:c>
    </x:row>
    <x:row r="695">
      <x:c r="A695" s="51" t="str">
        <x:v>MAT-6R-0681</x:v>
      </x:c>
      <x:c r="B695" s="52" t="str">
        <x:v>ЦАХИЛГААНЫ САМБАР</x:v>
      </x:c>
      <x:c r="C695" s="52" t="str">
        <x:v>ВА47.100.4Р шугамын автомат, характристика C</x:v>
      </x:c>
      <x:c r="D695" s="52" t="str">
        <x:v>32А</x:v>
      </x:c>
      <x:c r="E695" s="52" t="str">
        <x:v>ш</x:v>
      </x:c>
      <x:c r="F695" s="53" t="n">
        <x:v>1</x:v>
      </x:c>
      <x:c r="G695" s="54" t="n">
        <x:v>54720</x:v>
      </x:c>
      <x:c r="H695" s="54" t="n">
        <x:v>54720</x:v>
      </x:c>
      <x:c r="I695" s="54" t="n">
        <x:f>IF(AND(ISNUMBER(F695),ISNUMBER(G695)),ROUND(F695*G695,0),H695)</x:f>
        <x:v>54720</x:v>
      </x:c>
      <x:c r="J695" s="54" t="n">
        <x:f>I695-H695</x:f>
        <x:v>0</x:v>
      </x:c>
      <x:c r="K695" s="51" t="str">
        <x:v>Багцын задаргаа</x:v>
      </x:c>
      <x:c r="L695" s="51" t="str">
        <x:f>IF(J695=0,"OK","Шалгах")</x:f>
        <x:v>OK</x:v>
      </x:c>
      <x:c r="M695" s="51" t="str">
        <x:v>Цахилгаан</x:v>
      </x:c>
      <x:c r="N695" s="51" t="n">
        <x:v>99</x:v>
      </x:c>
    </x:row>
    <x:row r="696">
      <x:c r="A696" s="51" t="str">
        <x:v>MAT-6R-0682</x:v>
      </x:c>
      <x:c r="B696" s="52" t="str">
        <x:v>ЦАХИЛГААНЫ САМБАР</x:v>
      </x:c>
      <x:c r="C696" s="52" t="str">
        <x:v>ВА47.29.2Р шугамын автомат, характристика C</x:v>
      </x:c>
      <x:c r="D696" s="52" t="str">
        <x:v>25А</x:v>
      </x:c>
      <x:c r="E696" s="52" t="str">
        <x:v>ш</x:v>
      </x:c>
      <x:c r="F696" s="53" t="n">
        <x:v>1</x:v>
      </x:c>
      <x:c r="G696" s="54" t="n">
        <x:v>9630</x:v>
      </x:c>
      <x:c r="H696" s="54" t="n">
        <x:v>9630</x:v>
      </x:c>
      <x:c r="I696" s="54" t="n">
        <x:f>IF(AND(ISNUMBER(F696),ISNUMBER(G696)),ROUND(F696*G696,0),H696)</x:f>
        <x:v>9630</x:v>
      </x:c>
      <x:c r="J696" s="54" t="n">
        <x:f>I696-H696</x:f>
        <x:v>0</x:v>
      </x:c>
      <x:c r="K696" s="51" t="str">
        <x:v>Багцын задаргаа</x:v>
      </x:c>
      <x:c r="L696" s="51" t="str">
        <x:f>IF(J696=0,"OK","Шалгах")</x:f>
        <x:v>OK</x:v>
      </x:c>
      <x:c r="M696" s="51" t="str">
        <x:v>Цахилгаан</x:v>
      </x:c>
      <x:c r="N696" s="51" t="n">
        <x:v>100</x:v>
      </x:c>
    </x:row>
    <x:row r="697">
      <x:c r="A697" s="51" t="str">
        <x:v>MAT-6R-0683</x:v>
      </x:c>
      <x:c r="B697" s="52" t="str">
        <x:v>ЦАХИЛГААНЫ САМБАР</x:v>
      </x:c>
      <x:c r="C697" s="52" t="str">
        <x:v>ВА47.29.2Р шугамын автомат, характристика D</x:v>
      </x:c>
      <x:c r="D697" s="52" t="str">
        <x:v>16А</x:v>
      </x:c>
      <x:c r="E697" s="52" t="str">
        <x:v>ш</x:v>
      </x:c>
      <x:c r="F697" s="53" t="n">
        <x:v>1</x:v>
      </x:c>
      <x:c r="G697" s="54" t="n">
        <x:v>8550</x:v>
      </x:c>
      <x:c r="H697" s="54" t="n">
        <x:v>8550</x:v>
      </x:c>
      <x:c r="I697" s="54" t="n">
        <x:f>IF(AND(ISNUMBER(F697),ISNUMBER(G697)),ROUND(F697*G697,0),H697)</x:f>
        <x:v>8550</x:v>
      </x:c>
      <x:c r="J697" s="54" t="n">
        <x:f>I697-H697</x:f>
        <x:v>0</x:v>
      </x:c>
      <x:c r="K697" s="51" t="str">
        <x:v>Багцын задаргаа</x:v>
      </x:c>
      <x:c r="L697" s="51" t="str">
        <x:f>IF(J697=0,"OK","Шалгах")</x:f>
        <x:v>OK</x:v>
      </x:c>
      <x:c r="M697" s="51" t="str">
        <x:v>Цахилгаан</x:v>
      </x:c>
      <x:c r="N697" s="51" t="n">
        <x:v>101</x:v>
      </x:c>
    </x:row>
    <x:row r="698">
      <x:c r="A698" s="51" t="str">
        <x:v>MAT-6R-0684</x:v>
      </x:c>
      <x:c r="B698" s="52" t="str">
        <x:v>ЦАХИЛГААНЫ САМБАР</x:v>
      </x:c>
      <x:c r="C698" s="52" t="str">
        <x:v>ВА47.29.2Р шугамын автомат, характристика В</x:v>
      </x:c>
      <x:c r="D698" s="52" t="str">
        <x:v>16А</x:v>
      </x:c>
      <x:c r="E698" s="52" t="str">
        <x:v>ш</x:v>
      </x:c>
      <x:c r="F698" s="53" t="n">
        <x:v>13</x:v>
      </x:c>
      <x:c r="G698" s="54" t="n">
        <x:v>8550</x:v>
      </x:c>
      <x:c r="H698" s="54" t="n">
        <x:v>111150</x:v>
      </x:c>
      <x:c r="I698" s="54" t="n">
        <x:f>IF(AND(ISNUMBER(F698),ISNUMBER(G698)),ROUND(F698*G698,0),H698)</x:f>
        <x:v>111150</x:v>
      </x:c>
      <x:c r="J698" s="54" t="n">
        <x:f>I698-H698</x:f>
        <x:v>0</x:v>
      </x:c>
      <x:c r="K698" s="51" t="str">
        <x:v>Багцын задаргаа</x:v>
      </x:c>
      <x:c r="L698" s="51" t="str">
        <x:f>IF(J698=0,"OK","Шалгах")</x:f>
        <x:v>OK</x:v>
      </x:c>
      <x:c r="M698" s="51" t="str">
        <x:v>Цахилгаан</x:v>
      </x:c>
      <x:c r="N698" s="51" t="n">
        <x:v>102</x:v>
      </x:c>
    </x:row>
    <x:row r="699">
      <x:c r="A699" s="51" t="str">
        <x:v>MAT-6R-0685</x:v>
      </x:c>
      <x:c r="B699" s="52" t="str">
        <x:v>ЦАХИЛГААНЫ САМБАР</x:v>
      </x:c>
      <x:c r="C699" s="52" t="str">
        <x:v>Хэт хүчдэл хязгаарлагч</x:v>
      </x:c>
      <x:c r="D699" s="52" t="str">
        <x:v>ОПС2-B-4Р</x:v>
      </x:c>
      <x:c r="E699" s="52" t="str">
        <x:v>ш</x:v>
      </x:c>
      <x:c r="F699" s="53" t="n">
        <x:v>1</x:v>
      </x:c>
      <x:c r="G699" s="54" t="n">
        <x:v>234000</x:v>
      </x:c>
      <x:c r="H699" s="54" t="n">
        <x:v>234000</x:v>
      </x:c>
      <x:c r="I699" s="54" t="n">
        <x:f>IF(AND(ISNUMBER(F699),ISNUMBER(G699)),ROUND(F699*G699,0),H699)</x:f>
        <x:v>234000</x:v>
      </x:c>
      <x:c r="J699" s="54" t="n">
        <x:f>I699-H699</x:f>
        <x:v>0</x:v>
      </x:c>
      <x:c r="K699" s="51" t="str">
        <x:v>Багцын задаргаа</x:v>
      </x:c>
      <x:c r="L699" s="51" t="str">
        <x:f>IF(J699=0,"OK","Шалгах")</x:f>
        <x:v>OK</x:v>
      </x:c>
      <x:c r="M699" s="51" t="str">
        <x:v>Цахилгаан</x:v>
      </x:c>
      <x:c r="N699" s="51" t="n">
        <x:v>103</x:v>
      </x:c>
    </x:row>
    <x:row r="700">
      <x:c r="A700" s="51" t="str">
        <x:v>MAT-6R-0686</x:v>
      </x:c>
      <x:c r="B700" s="52" t="str">
        <x:v>ЦАХИЛГААНЫ САМБАР</x:v>
      </x:c>
      <x:c r="C700" s="52" t="str">
        <x:v>Фазын шин, N, PE-ын шин</x:v>
      </x:c>
      <x:c r="D700" s="52" t="str">
        <x:v>63А</x:v>
      </x:c>
      <x:c r="E700" s="52" t="str">
        <x:v>комп</x:v>
      </x:c>
      <x:c r="F700" s="53" t="n">
        <x:v>1</x:v>
      </x:c>
      <x:c r="G700" s="54" t="n">
        <x:v>10500</x:v>
      </x:c>
      <x:c r="H700" s="54" t="n">
        <x:v>10500</x:v>
      </x:c>
      <x:c r="I700" s="54" t="n">
        <x:f>IF(AND(ISNUMBER(F700),ISNUMBER(G700)),ROUND(F700*G700,0),H700)</x:f>
        <x:v>10500</x:v>
      </x:c>
      <x:c r="J700" s="54" t="n">
        <x:f>I700-H700</x:f>
        <x:v>0</x:v>
      </x:c>
      <x:c r="K700" s="51" t="str">
        <x:v>Багцын задаргаа</x:v>
      </x:c>
      <x:c r="L700" s="51" t="str">
        <x:f>IF(J700=0,"OK","Шалгах")</x:f>
        <x:v>OK</x:v>
      </x:c>
      <x:c r="M700" s="51" t="str">
        <x:v>Цахилгаан</x:v>
      </x:c>
      <x:c r="N700" s="51" t="n">
        <x:v>104</x:v>
      </x:c>
    </x:row>
    <x:row r="701">
      <x:c r="A701" s="51" t="str">
        <x:v>MAT-6R-0687</x:v>
      </x:c>
      <x:c r="B701" s="52" t="str">
        <x:v>ЦАХИЛГААНЫ САМБАР</x:v>
      </x:c>
      <x:c r="C701" s="52" t="str">
        <x:v>ВА47.100.4Р шугамын автомат, характристика C</x:v>
      </x:c>
      <x:c r="D701" s="52" t="str">
        <x:v>32А</x:v>
      </x:c>
      <x:c r="E701" s="52" t="str">
        <x:v>ш</x:v>
      </x:c>
      <x:c r="F701" s="53" t="n">
        <x:v>1</x:v>
      </x:c>
      <x:c r="G701" s="54" t="n">
        <x:v>54720</x:v>
      </x:c>
      <x:c r="H701" s="54" t="n">
        <x:v>54720</x:v>
      </x:c>
      <x:c r="I701" s="54" t="n">
        <x:f>IF(AND(ISNUMBER(F701),ISNUMBER(G701)),ROUND(F701*G701,0),H701)</x:f>
        <x:v>54720</x:v>
      </x:c>
      <x:c r="J701" s="54" t="n">
        <x:f>I701-H701</x:f>
        <x:v>0</x:v>
      </x:c>
      <x:c r="K701" s="51" t="str">
        <x:v>Багцын задаргаа</x:v>
      </x:c>
      <x:c r="L701" s="51" t="str">
        <x:f>IF(J701=0,"OK","Шалгах")</x:f>
        <x:v>OK</x:v>
      </x:c>
      <x:c r="M701" s="51" t="str">
        <x:v>Цахилгаан</x:v>
      </x:c>
      <x:c r="N701" s="51" t="n">
        <x:v>107</x:v>
      </x:c>
    </x:row>
    <x:row r="702">
      <x:c r="A702" s="51" t="str">
        <x:v>MAT-6R-0688</x:v>
      </x:c>
      <x:c r="B702" s="52" t="str">
        <x:v>ЦАХИЛГААНЫ САМБАР</x:v>
      </x:c>
      <x:c r="C702" s="52" t="str">
        <x:v>ВА47.100.4Р шугамын автомат, характристика C</x:v>
      </x:c>
      <x:c r="D702" s="52" t="str">
        <x:v>25А</x:v>
      </x:c>
      <x:c r="E702" s="52" t="str">
        <x:v>ш</x:v>
      </x:c>
      <x:c r="F702" s="53" t="n">
        <x:v>1</x:v>
      </x:c>
      <x:c r="G702" s="54" t="n">
        <x:v>54720</x:v>
      </x:c>
      <x:c r="H702" s="54" t="n">
        <x:v>54720</x:v>
      </x:c>
      <x:c r="I702" s="54" t="n">
        <x:f>IF(AND(ISNUMBER(F702),ISNUMBER(G702)),ROUND(F702*G702,0),H702)</x:f>
        <x:v>54720</x:v>
      </x:c>
      <x:c r="J702" s="54" t="n">
        <x:f>I702-H702</x:f>
        <x:v>0</x:v>
      </x:c>
      <x:c r="K702" s="51" t="str">
        <x:v>Багцын задаргаа</x:v>
      </x:c>
      <x:c r="L702" s="51" t="str">
        <x:f>IF(J702=0,"OK","Шалгах")</x:f>
        <x:v>OK</x:v>
      </x:c>
      <x:c r="M702" s="51" t="str">
        <x:v>Цахилгаан</x:v>
      </x:c>
      <x:c r="N702" s="51" t="n">
        <x:v>108</x:v>
      </x:c>
    </x:row>
    <x:row r="703">
      <x:c r="A703" s="51" t="str">
        <x:v>MAT-6R-0689</x:v>
      </x:c>
      <x:c r="B703" s="52" t="str">
        <x:v>ЦАХИЛГААНЫ САМБАР</x:v>
      </x:c>
      <x:c r="C703" s="52" t="str">
        <x:v>ВА47.29.4Р шугамын автомат, характристика D</x:v>
      </x:c>
      <x:c r="D703" s="52" t="str">
        <x:v>25А</x:v>
      </x:c>
      <x:c r="E703" s="52" t="str">
        <x:v>ш</x:v>
      </x:c>
      <x:c r="F703" s="53" t="n">
        <x:v>1</x:v>
      </x:c>
      <x:c r="G703" s="54" t="n">
        <x:v>17190</x:v>
      </x:c>
      <x:c r="H703" s="54" t="n">
        <x:v>17190</x:v>
      </x:c>
      <x:c r="I703" s="54" t="n">
        <x:f>IF(AND(ISNUMBER(F703),ISNUMBER(G703)),ROUND(F703*G703,0),H703)</x:f>
        <x:v>17190</x:v>
      </x:c>
      <x:c r="J703" s="54" t="n">
        <x:f>I703-H703</x:f>
        <x:v>0</x:v>
      </x:c>
      <x:c r="K703" s="51" t="str">
        <x:v>Багцын задаргаа</x:v>
      </x:c>
      <x:c r="L703" s="51" t="str">
        <x:f>IF(J703=0,"OK","Шалгах")</x:f>
        <x:v>OK</x:v>
      </x:c>
      <x:c r="M703" s="51" t="str">
        <x:v>Цахилгаан</x:v>
      </x:c>
      <x:c r="N703" s="51" t="n">
        <x:v>109</x:v>
      </x:c>
    </x:row>
    <x:row r="704">
      <x:c r="A704" s="51" t="str">
        <x:v>MAT-6R-0690</x:v>
      </x:c>
      <x:c r="B704" s="52" t="str">
        <x:v>ЦАХИЛГААНЫ САМБАР</x:v>
      </x:c>
      <x:c r="C704" s="52" t="str">
        <x:v>ВА47.29.2Р шугамын автомат, характристика В</x:v>
      </x:c>
      <x:c r="D704" s="52" t="str">
        <x:v>16А</x:v>
      </x:c>
      <x:c r="E704" s="52" t="str">
        <x:v>ш</x:v>
      </x:c>
      <x:c r="F704" s="53" t="n">
        <x:v>4</x:v>
      </x:c>
      <x:c r="G704" s="54" t="n">
        <x:v>8550</x:v>
      </x:c>
      <x:c r="H704" s="54" t="n">
        <x:v>34200</x:v>
      </x:c>
      <x:c r="I704" s="54" t="n">
        <x:f>IF(AND(ISNUMBER(F704),ISNUMBER(G704)),ROUND(F704*G704,0),H704)</x:f>
        <x:v>34200</x:v>
      </x:c>
      <x:c r="J704" s="54" t="n">
        <x:f>I704-H704</x:f>
        <x:v>0</x:v>
      </x:c>
      <x:c r="K704" s="51" t="str">
        <x:v>Багцын задаргаа</x:v>
      </x:c>
      <x:c r="L704" s="51" t="str">
        <x:f>IF(J704=0,"OK","Шалгах")</x:f>
        <x:v>OK</x:v>
      </x:c>
      <x:c r="M704" s="51" t="str">
        <x:v>Цахилгаан</x:v>
      </x:c>
      <x:c r="N704" s="51" t="n">
        <x:v>110</x:v>
      </x:c>
    </x:row>
    <x:row r="705">
      <x:c r="A705" s="51" t="str">
        <x:v>MAT-6R-0691</x:v>
      </x:c>
      <x:c r="B705" s="52" t="str">
        <x:v>ЦАХИЛГААНЫ САМБАР</x:v>
      </x:c>
      <x:c r="C705" s="52" t="str">
        <x:v>Хэт хүчдэл хязгаарлагч</x:v>
      </x:c>
      <x:c r="D705" s="52" t="str">
        <x:v>ОПС2-B-4Р</x:v>
      </x:c>
      <x:c r="E705" s="52" t="str">
        <x:v>ш</x:v>
      </x:c>
      <x:c r="F705" s="53" t="n">
        <x:v>1</x:v>
      </x:c>
      <x:c r="G705" s="54" t="n">
        <x:v>234000</x:v>
      </x:c>
      <x:c r="H705" s="54" t="n">
        <x:v>234000</x:v>
      </x:c>
      <x:c r="I705" s="54" t="n">
        <x:f>IF(AND(ISNUMBER(F705),ISNUMBER(G705)),ROUND(F705*G705,0),H705)</x:f>
        <x:v>234000</x:v>
      </x:c>
      <x:c r="J705" s="54" t="n">
        <x:f>I705-H705</x:f>
        <x:v>0</x:v>
      </x:c>
      <x:c r="K705" s="51" t="str">
        <x:v>Багцын задаргаа</x:v>
      </x:c>
      <x:c r="L705" s="51" t="str">
        <x:f>IF(J705=0,"OK","Шалгах")</x:f>
        <x:v>OK</x:v>
      </x:c>
      <x:c r="M705" s="51" t="str">
        <x:v>Цахилгаан</x:v>
      </x:c>
      <x:c r="N705" s="51" t="n">
        <x:v>111</x:v>
      </x:c>
    </x:row>
    <x:row r="706">
      <x:c r="A706" s="51" t="str">
        <x:v>MAT-6R-0692</x:v>
      </x:c>
      <x:c r="B706" s="52" t="str">
        <x:v>ЦАХИЛГААНЫ САМБАР</x:v>
      </x:c>
      <x:c r="C706" s="52" t="str">
        <x:v>Фазын шин, N, PE-ын шин</x:v>
      </x:c>
      <x:c r="D706" s="52" t="str">
        <x:v>63А</x:v>
      </x:c>
      <x:c r="E706" s="52" t="str">
        <x:v>комп</x:v>
      </x:c>
      <x:c r="F706" s="53" t="n">
        <x:v>1</x:v>
      </x:c>
      <x:c r="G706" s="54" t="n">
        <x:v>10800</x:v>
      </x:c>
      <x:c r="H706" s="54" t="n">
        <x:v>10800</x:v>
      </x:c>
      <x:c r="I706" s="54" t="n">
        <x:f>IF(AND(ISNUMBER(F706),ISNUMBER(G706)),ROUND(F706*G706,0),H706)</x:f>
        <x:v>10800</x:v>
      </x:c>
      <x:c r="J706" s="54" t="n">
        <x:f>I706-H706</x:f>
        <x:v>0</x:v>
      </x:c>
      <x:c r="K706" s="51" t="str">
        <x:v>Багцын задаргаа</x:v>
      </x:c>
      <x:c r="L706" s="51" t="str">
        <x:f>IF(J706=0,"OK","Шалгах")</x:f>
        <x:v>OK</x:v>
      </x:c>
      <x:c r="M706" s="51" t="str">
        <x:v>Цахилгаан</x:v>
      </x:c>
      <x:c r="N706" s="51" t="n">
        <x:v>112</x:v>
      </x:c>
    </x:row>
    <x:row r="707">
      <x:c r="A707" s="51" t="str">
        <x:v>MAT-6R-0693</x:v>
      </x:c>
      <x:c r="B707" s="52" t="str">
        <x:v>ЦАХИЛГААНЫ САМБАР</x:v>
      </x:c>
      <x:c r="C707" s="52" t="str">
        <x:v>3 Фазын электрон тоолуур</x:v>
      </x:c>
      <x:c r="D707" s="52" t="str">
        <x:v>3х220/380,5А</x:v>
      </x:c>
      <x:c r="E707" s="52" t="str">
        <x:v>ш</x:v>
      </x:c>
      <x:c r="F707" s="53" t="n">
        <x:v>3</x:v>
      </x:c>
      <x:c r="G707" s="54" t="n">
        <x:v>658630</x:v>
      </x:c>
      <x:c r="H707" s="54" t="n">
        <x:v>1975890</x:v>
      </x:c>
      <x:c r="I707" s="54" t="n">
        <x:f>IF(AND(ISNUMBER(F707),ISNUMBER(G707)),ROUND(F707*G707,0),H707)</x:f>
        <x:v>1975890</x:v>
      </x:c>
      <x:c r="J707" s="54" t="n">
        <x:f>I707-H707</x:f>
        <x:v>0</x:v>
      </x:c>
      <x:c r="K707" s="51" t="str">
        <x:v>Багцын задаргаа</x:v>
      </x:c>
      <x:c r="L707" s="51" t="str">
        <x:f>IF(J707=0,"OK","Шалгах")</x:f>
        <x:v>OK</x:v>
      </x:c>
      <x:c r="M707" s="51" t="str">
        <x:v>Цахилгаан</x:v>
      </x:c>
      <x:c r="N707" s="51" t="n">
        <x:v>113</x:v>
      </x:c>
    </x:row>
    <x:row r="708">
      <x:c r="A708" s="51" t="str">
        <x:v>MAT-6R-0694</x:v>
      </x:c>
      <x:c r="B708" s="52" t="str">
        <x:v>ЦАХИЛГААНЫ САМБАР</x:v>
      </x:c>
      <x:c r="C708" s="52" t="str">
        <x:v>1 Фазын электрон тоолуур</x:v>
      </x:c>
      <x:c r="D708" s="52" t="str">
        <x:v>230, 60А</x:v>
      </x:c>
      <x:c r="E708" s="52" t="str">
        <x:v>ш</x:v>
      </x:c>
      <x:c r="F708" s="53" t="n">
        <x:v>128</x:v>
      </x:c>
      <x:c r="G708" s="54" t="n">
        <x:v>251230</x:v>
      </x:c>
      <x:c r="H708" s="54" t="n">
        <x:v>32157440</x:v>
      </x:c>
      <x:c r="I708" s="54" t="n">
        <x:f>IF(AND(ISNUMBER(F708),ISNUMBER(G708)),ROUND(F708*G708,0),H708)</x:f>
        <x:v>32157440</x:v>
      </x:c>
      <x:c r="J708" s="54" t="n">
        <x:f>I708-H708</x:f>
        <x:v>0</x:v>
      </x:c>
      <x:c r="K708" s="51" t="str">
        <x:v>Багцын задаргаа</x:v>
      </x:c>
      <x:c r="L708" s="51" t="str">
        <x:f>IF(J708=0,"OK","Шалгах")</x:f>
        <x:v>OK</x:v>
      </x:c>
      <x:c r="M708" s="51" t="str">
        <x:v>Цахилгаан</x:v>
      </x:c>
      <x:c r="N708" s="51" t="n">
        <x:v>114</x:v>
      </x:c>
    </x:row>
    <x:row r="709">
      <x:c r="A709" s="51" t="str">
        <x:v>MAT-6R-0695</x:v>
      </x:c>
      <x:c r="B709" s="52" t="str">
        <x:v>ЦАХИЛГААНЫ САМБАР</x:v>
      </x:c>
      <x:c r="C709" s="52" t="str">
        <x:v>ШИН</x:v>
      </x:c>
      <x:c r="D709" s="52" t="str"/>
      <x:c r="E709" s="52" t="str">
        <x:v>М</x:v>
      </x:c>
      <x:c r="F709" s="53" t="n">
        <x:v>3</x:v>
      </x:c>
      <x:c r="G709" s="54" t="n">
        <x:v>10800</x:v>
      </x:c>
      <x:c r="H709" s="54" t="n">
        <x:v>32400</x:v>
      </x:c>
      <x:c r="I709" s="54" t="n">
        <x:f>IF(AND(ISNUMBER(F709),ISNUMBER(G709)),ROUND(F709*G709,0),H709)</x:f>
        <x:v>32400</x:v>
      </x:c>
      <x:c r="J709" s="54" t="n">
        <x:f>I709-H709</x:f>
        <x:v>0</x:v>
      </x:c>
      <x:c r="K709" s="51" t="str">
        <x:v>Багцын задаргаа</x:v>
      </x:c>
      <x:c r="L709" s="51" t="str">
        <x:f>IF(J709=0,"OK","Шалгах")</x:f>
        <x:v>OK</x:v>
      </x:c>
      <x:c r="M709" s="51" t="str">
        <x:v>Цахилгаан</x:v>
      </x:c>
      <x:c r="N709" s="51" t="n">
        <x:v>115</x:v>
      </x:c>
    </x:row>
    <x:row r="710">
      <x:c r="A710" s="51" t="str">
        <x:v>MAT-6R-0696</x:v>
      </x:c>
      <x:c r="B710" s="52" t="str">
        <x:v>ЦАХИЛГААНЫ САМБАР</x:v>
      </x:c>
      <x:c r="C710" s="52" t="str">
        <x:v>BBKIT</x:v>
      </x:c>
      <x:c r="D710" s="52" t="str"/>
      <x:c r="E710" s="52" t="str">
        <x:v>ш</x:v>
      </x:c>
      <x:c r="F710" s="53" t="n">
        <x:v>6</x:v>
      </x:c>
      <x:c r="G710" s="54" t="n">
        <x:v>1500</x:v>
      </x:c>
      <x:c r="H710" s="54" t="n">
        <x:v>9000</x:v>
      </x:c>
      <x:c r="I710" s="54" t="n">
        <x:f>IF(AND(ISNUMBER(F710),ISNUMBER(G710)),ROUND(F710*G710,0),H710)</x:f>
        <x:v>9000</x:v>
      </x:c>
      <x:c r="J710" s="54" t="n">
        <x:f>I710-H710</x:f>
        <x:v>0</x:v>
      </x:c>
      <x:c r="K710" s="51" t="str">
        <x:v>Багцын задаргаа</x:v>
      </x:c>
      <x:c r="L710" s="51" t="str">
        <x:f>IF(J710=0,"OK","Шалгах")</x:f>
        <x:v>OK</x:v>
      </x:c>
      <x:c r="M710" s="51" t="str">
        <x:v>Цахилгаан</x:v>
      </x:c>
      <x:c r="N710" s="51" t="n">
        <x:v>116</x:v>
      </x:c>
    </x:row>
    <x:row r="711">
      <x:c r="A711" s="51" t="str">
        <x:v>MAT-6R-0697</x:v>
      </x:c>
      <x:c r="B711" s="52" t="str">
        <x:v>ЦАХИЛГААНЫ САМБАР</x:v>
      </x:c>
      <x:c r="C711" s="52" t="str">
        <x:v>Самбар хамгаалалтын зэрэг IP31, ил тоноглох</x:v>
      </x:c>
      <x:c r="D711" s="52" t="str">
        <x:v>ЩРН-П-4 модултай</x:v>
      </x:c>
      <x:c r="E711" s="52" t="str">
        <x:v>комп</x:v>
      </x:c>
      <x:c r="F711" s="53" t="n">
        <x:v>2</x:v>
      </x:c>
      <x:c r="G711" s="54" t="n">
        <x:v>6120</x:v>
      </x:c>
      <x:c r="H711" s="54" t="n">
        <x:v>12240</x:v>
      </x:c>
      <x:c r="I711" s="54" t="n">
        <x:f>IF(AND(ISNUMBER(F711),ISNUMBER(G711)),ROUND(F711*G711,0),H711)</x:f>
        <x:v>12240</x:v>
      </x:c>
      <x:c r="J711" s="54" t="n">
        <x:f>I711-H711</x:f>
        <x:v>0</x:v>
      </x:c>
      <x:c r="K711" s="51" t="str">
        <x:v>Багцын задаргаа</x:v>
      </x:c>
      <x:c r="L711" s="51" t="str">
        <x:f>IF(J711=0,"OK","Шалгах")</x:f>
        <x:v>OK</x:v>
      </x:c>
      <x:c r="M711" s="51" t="str">
        <x:v>Цахилгаан</x:v>
      </x:c>
      <x:c r="N711" s="51" t="n">
        <x:v>118</x:v>
      </x:c>
    </x:row>
    <x:row r="712">
      <x:c r="A712" s="51" t="str">
        <x:v>MAT-6R-0698</x:v>
      </x:c>
      <x:c r="B712" s="52" t="str">
        <x:v>ЦАХИЛГААНЫ САМБАР</x:v>
      </x:c>
      <x:c r="C712" s="52" t="str">
        <x:v>ВН32-4Р шугамын таслуур</x:v>
      </x:c>
      <x:c r="D712" s="52" t="str">
        <x:v>40А</x:v>
      </x:c>
      <x:c r="E712" s="52" t="str">
        <x:v>ш</x:v>
      </x:c>
      <x:c r="F712" s="53" t="n">
        <x:v>2</x:v>
      </x:c>
      <x:c r="G712" s="54" t="n">
        <x:v>13410</x:v>
      </x:c>
      <x:c r="H712" s="54" t="n">
        <x:v>26820</x:v>
      </x:c>
      <x:c r="I712" s="54" t="n">
        <x:f>IF(AND(ISNUMBER(F712),ISNUMBER(G712)),ROUND(F712*G712,0),H712)</x:f>
        <x:v>26820</x:v>
      </x:c>
      <x:c r="J712" s="54" t="n">
        <x:f>I712-H712</x:f>
        <x:v>0</x:v>
      </x:c>
      <x:c r="K712" s="51" t="str">
        <x:v>Багцын задаргаа</x:v>
      </x:c>
      <x:c r="L712" s="51" t="str">
        <x:f>IF(J712=0,"OK","Шалгах")</x:f>
        <x:v>OK</x:v>
      </x:c>
      <x:c r="M712" s="51" t="str">
        <x:v>Цахилгаан</x:v>
      </x:c>
      <x:c r="N712" s="51" t="n">
        <x:v>119</x:v>
      </x:c>
    </x:row>
    <x:row r="713">
      <x:c r="A713" s="51" t="str">
        <x:v>MAT-6R-0699</x:v>
      </x:c>
      <x:c r="B713" s="52" t="str">
        <x:v>ЦАХИЛГААНЫ САМБАР</x:v>
      </x:c>
      <x:c r="C713" s="52" t="str">
        <x:v>Самбар хамгаалалтын зэрэг IP31, ил тоноглох</x:v>
      </x:c>
      <x:c r="D713" s="52" t="str">
        <x:v>ЩРН-П-4 модултай</x:v>
      </x:c>
      <x:c r="E713" s="52" t="str">
        <x:v>комп</x:v>
      </x:c>
      <x:c r="F713" s="53" t="n">
        <x:v>3</x:v>
      </x:c>
      <x:c r="G713" s="54" t="n">
        <x:v>6120</x:v>
      </x:c>
      <x:c r="H713" s="54" t="n">
        <x:v>18360</x:v>
      </x:c>
      <x:c r="I713" s="54" t="n">
        <x:f>IF(AND(ISNUMBER(F713),ISNUMBER(G713)),ROUND(F713*G713,0),H713)</x:f>
        <x:v>18360</x:v>
      </x:c>
      <x:c r="J713" s="54" t="n">
        <x:f>I713-H713</x:f>
        <x:v>0</x:v>
      </x:c>
      <x:c r="K713" s="51" t="str">
        <x:v>Багцын задаргаа</x:v>
      </x:c>
      <x:c r="L713" s="51" t="str">
        <x:f>IF(J713=0,"OK","Шалгах")</x:f>
        <x:v>OK</x:v>
      </x:c>
      <x:c r="M713" s="51" t="str">
        <x:v>Цахилгаан</x:v>
      </x:c>
      <x:c r="N713" s="51" t="n">
        <x:v>120</x:v>
      </x:c>
    </x:row>
    <x:row r="714">
      <x:c r="A714" s="51" t="str">
        <x:v>MAT-6R-0700</x:v>
      </x:c>
      <x:c r="B714" s="52" t="str">
        <x:v>ЦАХИЛГААНЫ САМБАР</x:v>
      </x:c>
      <x:c r="C714" s="52" t="str">
        <x:v>ВН32-4Р шугамын таслуур</x:v>
      </x:c>
      <x:c r="D714" s="52" t="str">
        <x:v>50А</x:v>
      </x:c>
      <x:c r="E714" s="52" t="str">
        <x:v>ш</x:v>
      </x:c>
      <x:c r="F714" s="53" t="n">
        <x:v>3</x:v>
      </x:c>
      <x:c r="G714" s="54" t="n">
        <x:v>19800</x:v>
      </x:c>
      <x:c r="H714" s="54" t="n">
        <x:v>59400</x:v>
      </x:c>
      <x:c r="I714" s="54" t="n">
        <x:f>IF(AND(ISNUMBER(F714),ISNUMBER(G714)),ROUND(F714*G714,0),H714)</x:f>
        <x:v>59400</x:v>
      </x:c>
      <x:c r="J714" s="54" t="n">
        <x:f>I714-H714</x:f>
        <x:v>0</x:v>
      </x:c>
      <x:c r="K714" s="51" t="str">
        <x:v>Багцын задаргаа</x:v>
      </x:c>
      <x:c r="L714" s="51" t="str">
        <x:f>IF(J714=0,"OK","Шалгах")</x:f>
        <x:v>OK</x:v>
      </x:c>
      <x:c r="M714" s="51" t="str">
        <x:v>Цахилгаан</x:v>
      </x:c>
      <x:c r="N714" s="51" t="n">
        <x:v>121</x:v>
      </x:c>
    </x:row>
    <x:row r="715">
      <x:c r="A715" s="51" t="str">
        <x:v>MAT-6R-0701</x:v>
      </x:c>
      <x:c r="B715" s="52" t="str">
        <x:v>ЦАХИЛГААНЫ САМБАР</x:v>
      </x:c>
      <x:c r="C715" s="52" t="str">
        <x:v>ВН32-4Р шугамын таслуур</x:v>
      </x:c>
      <x:c r="D715" s="52" t="str">
        <x:v>40А</x:v>
      </x:c>
      <x:c r="E715" s="52" t="str">
        <x:v>ш</x:v>
      </x:c>
      <x:c r="F715" s="53" t="n">
        <x:v>3</x:v>
      </x:c>
      <x:c r="G715" s="54" t="n">
        <x:v>13410</x:v>
      </x:c>
      <x:c r="H715" s="54" t="n">
        <x:v>40230</x:v>
      </x:c>
      <x:c r="I715" s="54" t="n">
        <x:f>IF(AND(ISNUMBER(F715),ISNUMBER(G715)),ROUND(F715*G715,0),H715)</x:f>
        <x:v>40230</x:v>
      </x:c>
      <x:c r="J715" s="54" t="n">
        <x:f>I715-H715</x:f>
        <x:v>0</x:v>
      </x:c>
      <x:c r="K715" s="51" t="str">
        <x:v>Багцын задаргаа</x:v>
      </x:c>
      <x:c r="L715" s="51" t="str">
        <x:f>IF(J715=0,"OK","Шалгах")</x:f>
        <x:v>OK</x:v>
      </x:c>
      <x:c r="M715" s="51" t="str">
        <x:v>Цахилгаан</x:v>
      </x:c>
      <x:c r="N715" s="51" t="n">
        <x:v>122</x:v>
      </x:c>
    </x:row>
    <x:row r="716">
      <x:c r="A716" s="51" t="str">
        <x:v>MAT-6R-0702</x:v>
      </x:c>
      <x:c r="B716" s="52" t="str">
        <x:v>ЦАХИЛГААНЫ САМБАР</x:v>
      </x:c>
      <x:c r="C716" s="52" t="str">
        <x:v>Хувиарлах самбар хамгаалалтын зэрэг IP31, ил тоноглох</x:v>
      </x:c>
      <x:c r="D716" s="52" t="str">
        <x:v>ЩМП-800х650х250 мм</x:v>
      </x:c>
      <x:c r="E716" s="52" t="str">
        <x:v>комп</x:v>
      </x:c>
      <x:c r="F716" s="53" t="n">
        <x:v>1</x:v>
      </x:c>
      <x:c r="G716" s="54" t="n">
        <x:v>465500</x:v>
      </x:c>
      <x:c r="H716" s="54" t="n">
        <x:v>465500</x:v>
      </x:c>
      <x:c r="I716" s="54" t="n">
        <x:f>IF(AND(ISNUMBER(F716),ISNUMBER(G716)),ROUND(F716*G716,0),H716)</x:f>
        <x:v>465500</x:v>
      </x:c>
      <x:c r="J716" s="54" t="n">
        <x:f>I716-H716</x:f>
        <x:v>0</x:v>
      </x:c>
      <x:c r="K716" s="51" t="str">
        <x:v>Багцын задаргаа</x:v>
      </x:c>
      <x:c r="L716" s="51" t="str">
        <x:f>IF(J716=0,"OK","Шалгах")</x:f>
        <x:v>OK</x:v>
      </x:c>
      <x:c r="M716" s="51" t="str">
        <x:v>Цахилгаан</x:v>
      </x:c>
      <x:c r="N716" s="51" t="n">
        <x:v>124</x:v>
      </x:c>
    </x:row>
    <x:row r="717">
      <x:c r="A717" s="51" t="str">
        <x:v>MAT-6R-0703</x:v>
      </x:c>
      <x:c r="B717" s="52" t="str">
        <x:v>ЦАХИЛГААНЫ САМБАР</x:v>
      </x:c>
      <x:c r="C717" s="52" t="str">
        <x:v>3 Фазын шугамын автомат</x:v>
      </x:c>
      <x:c r="D717" s="52" t="str">
        <x:v>ВА88.32.3Р-80А</x:v>
      </x:c>
      <x:c r="E717" s="52" t="str">
        <x:v>ш</x:v>
      </x:c>
      <x:c r="F717" s="53" t="n">
        <x:v>1</x:v>
      </x:c>
      <x:c r="G717" s="54" t="n">
        <x:v>85680</x:v>
      </x:c>
      <x:c r="H717" s="54" t="n">
        <x:v>85680</x:v>
      </x:c>
      <x:c r="I717" s="54" t="n">
        <x:f>IF(AND(ISNUMBER(F717),ISNUMBER(G717)),ROUND(F717*G717,0),H717)</x:f>
        <x:v>85680</x:v>
      </x:c>
      <x:c r="J717" s="54" t="n">
        <x:f>I717-H717</x:f>
        <x:v>0</x:v>
      </x:c>
      <x:c r="K717" s="51" t="str">
        <x:v>Багцын задаргаа</x:v>
      </x:c>
      <x:c r="L717" s="51" t="str">
        <x:f>IF(J717=0,"OK","Шалгах")</x:f>
        <x:v>OK</x:v>
      </x:c>
      <x:c r="M717" s="51" t="str">
        <x:v>Цахилгаан</x:v>
      </x:c>
      <x:c r="N717" s="51" t="n">
        <x:v>125</x:v>
      </x:c>
    </x:row>
    <x:row r="718">
      <x:c r="A718" s="51" t="str">
        <x:v>MAT-6R-0704</x:v>
      </x:c>
      <x:c r="B718" s="52" t="str">
        <x:v>ЦАХИЛГААНЫ САМБАР</x:v>
      </x:c>
      <x:c r="C718" s="52" t="str">
        <x:v>Соронзон товчлуур</x:v>
      </x:c>
      <x:c r="D718" s="52" t="str">
        <x:v>ВКИ-230/16А, 1Р</x:v>
      </x:c>
      <x:c r="E718" s="52" t="str">
        <x:v>ш</x:v>
      </x:c>
      <x:c r="F718" s="53" t="n">
        <x:v>4</x:v>
      </x:c>
      <x:c r="G718" s="54" t="n">
        <x:v>19710</x:v>
      </x:c>
      <x:c r="H718" s="54" t="n">
        <x:v>78840</x:v>
      </x:c>
      <x:c r="I718" s="54" t="n">
        <x:f>IF(AND(ISNUMBER(F718),ISNUMBER(G718)),ROUND(F718*G718,0),H718)</x:f>
        <x:v>78840</x:v>
      </x:c>
      <x:c r="J718" s="54" t="n">
        <x:f>I718-H718</x:f>
        <x:v>0</x:v>
      </x:c>
      <x:c r="K718" s="51" t="str">
        <x:v>Багцын задаргаа</x:v>
      </x:c>
      <x:c r="L718" s="51" t="str">
        <x:f>IF(J718=0,"OK","Шалгах")</x:f>
        <x:v>OK</x:v>
      </x:c>
      <x:c r="M718" s="51" t="str">
        <x:v>Цахилгаан</x:v>
      </x:c>
      <x:c r="N718" s="51" t="n">
        <x:v>126</x:v>
      </x:c>
    </x:row>
    <x:row r="719">
      <x:c r="A719" s="51" t="str">
        <x:v>MAT-6R-0705</x:v>
      </x:c>
      <x:c r="B719" s="52" t="str">
        <x:v>ЦАХИЛГААНЫ САМБАР</x:v>
      </x:c>
      <x:c r="C719" s="52" t="str">
        <x:v>Газардуулгын ф10 цайран электрод</x:v>
      </x:c>
      <x:c r="D719" s="52" t="str">
        <x:v>L=1.5м ф25</x:v>
      </x:c>
      <x:c r="E719" s="52" t="str">
        <x:v>ш</x:v>
      </x:c>
      <x:c r="F719" s="53" t="n">
        <x:v>100</x:v>
      </x:c>
      <x:c r="G719" s="54" t="n">
        <x:v>3000</x:v>
      </x:c>
      <x:c r="H719" s="54" t="n">
        <x:v>300000</x:v>
      </x:c>
      <x:c r="I719" s="54" t="n">
        <x:f>IF(AND(ISNUMBER(F719),ISNUMBER(G719)),ROUND(F719*G719,0),H719)</x:f>
        <x:v>300000</x:v>
      </x:c>
      <x:c r="J719" s="54" t="n">
        <x:f>I719-H719</x:f>
        <x:v>0</x:v>
      </x:c>
      <x:c r="K719" s="51" t="str">
        <x:v>Багцын задаргаа</x:v>
      </x:c>
      <x:c r="L719" s="51" t="str">
        <x:f>IF(J719=0,"OK","Шалгах")</x:f>
        <x:v>OK</x:v>
      </x:c>
      <x:c r="M719" s="51" t="str">
        <x:v>Цахилгаан</x:v>
      </x:c>
      <x:c r="N719" s="51" t="n">
        <x:v>128</x:v>
      </x:c>
    </x:row>
    <x:row r="720">
      <x:c r="A720" s="51" t="str">
        <x:v>MAT-6R-0706</x:v>
      </x:c>
      <x:c r="B720" s="52" t="str">
        <x:v>ЦАХИЛГААНЫ САМБАР</x:v>
      </x:c>
      <x:c r="C720" s="52" t="str">
        <x:v>Электродны ходлболтын муфьт</x:v>
      </x:c>
      <x:c r="D720" s="52" t="str">
        <x:v>ф25</x:v>
      </x:c>
      <x:c r="E720" s="52" t="str">
        <x:v>ш</x:v>
      </x:c>
      <x:c r="F720" s="53" t="n">
        <x:v>65</x:v>
      </x:c>
      <x:c r="G720" s="54" t="n">
        <x:v>3500</x:v>
      </x:c>
      <x:c r="H720" s="54" t="n">
        <x:v>227500</x:v>
      </x:c>
      <x:c r="I720" s="54" t="n">
        <x:f>IF(AND(ISNUMBER(F720),ISNUMBER(G720)),ROUND(F720*G720,0),H720)</x:f>
        <x:v>227500</x:v>
      </x:c>
      <x:c r="J720" s="54" t="n">
        <x:f>I720-H720</x:f>
        <x:v>0</x:v>
      </x:c>
      <x:c r="K720" s="51" t="str">
        <x:v>Багцын задаргаа</x:v>
      </x:c>
      <x:c r="L720" s="51" t="str">
        <x:f>IF(J720=0,"OK","Шалгах")</x:f>
        <x:v>OK</x:v>
      </x:c>
      <x:c r="M720" s="51" t="str">
        <x:v>Цахилгаан</x:v>
      </x:c>
      <x:c r="N720" s="51" t="n">
        <x:v>129</x:v>
      </x:c>
    </x:row>
    <x:row r="721">
      <x:c r="A721" s="51" t="str">
        <x:v>MAT-6R-0707</x:v>
      </x:c>
      <x:c r="B721" s="52" t="str">
        <x:v>ЦАХИЛГААНЫ САМБАР</x:v>
      </x:c>
      <x:c r="C721" s="52" t="str">
        <x:v>Электродны цохилтлт хошуу</x:v>
      </x:c>
      <x:c r="D721" s="52" t="str">
        <x:v>ф25</x:v>
      </x:c>
      <x:c r="E721" s="52" t="str">
        <x:v>ш</x:v>
      </x:c>
      <x:c r="F721" s="53" t="n">
        <x:v>10</x:v>
      </x:c>
      <x:c r="G721" s="54" t="n">
        <x:v>4500</x:v>
      </x:c>
      <x:c r="H721" s="54" t="n">
        <x:v>45000</x:v>
      </x:c>
      <x:c r="I721" s="54" t="n">
        <x:f>IF(AND(ISNUMBER(F721),ISNUMBER(G721)),ROUND(F721*G721,0),H721)</x:f>
        <x:v>45000</x:v>
      </x:c>
      <x:c r="J721" s="54" t="n">
        <x:f>I721-H721</x:f>
        <x:v>0</x:v>
      </x:c>
      <x:c r="K721" s="51" t="str">
        <x:v>Багцын задаргаа</x:v>
      </x:c>
      <x:c r="L721" s="51" t="str">
        <x:f>IF(J721=0,"OK","Шалгах")</x:f>
        <x:v>OK</x:v>
      </x:c>
      <x:c r="M721" s="51" t="str">
        <x:v>Цахилгаан</x:v>
      </x:c>
      <x:c r="N721" s="51" t="n">
        <x:v>130</x:v>
      </x:c>
    </x:row>
    <x:row r="722">
      <x:c r="A722" s="51" t="str">
        <x:v>MAT-6R-0708</x:v>
      </x:c>
      <x:c r="B722" s="52" t="str">
        <x:v>ЦАХИЛГААНЫ САМБАР</x:v>
      </x:c>
      <x:c r="C722" s="52" t="str">
        <x:v>H 4 полса</x:v>
      </x:c>
      <x:c r="D722" s="52" t="str">
        <x:v>40*4мм</x:v>
      </x:c>
      <x:c r="E722" s="52" t="str">
        <x:v>м</x:v>
      </x:c>
      <x:c r="F722" s="53" t="n">
        <x:v>150</x:v>
      </x:c>
      <x:c r="G722" s="54" t="n">
        <x:v>3900</x:v>
      </x:c>
      <x:c r="H722" s="54" t="n">
        <x:v>585000</x:v>
      </x:c>
      <x:c r="I722" s="54" t="n">
        <x:f>IF(AND(ISNUMBER(F722),ISNUMBER(G722)),ROUND(F722*G722,0),H722)</x:f>
        <x:v>585000</x:v>
      </x:c>
      <x:c r="J722" s="54" t="n">
        <x:f>I722-H722</x:f>
        <x:v>0</x:v>
      </x:c>
      <x:c r="K722" s="51" t="str">
        <x:v>Багцын задаргаа</x:v>
      </x:c>
      <x:c r="L722" s="51" t="str">
        <x:f>IF(J722=0,"OK","Шалгах")</x:f>
        <x:v>OK</x:v>
      </x:c>
      <x:c r="M722" s="51" t="str">
        <x:v>Цахилгаан</x:v>
      </x:c>
      <x:c r="N722" s="51" t="n">
        <x:v>131</x:v>
      </x:c>
    </x:row>
    <x:row r="723">
      <x:c r="A723" s="51" t="str">
        <x:v>MAT-6R-0709</x:v>
      </x:c>
      <x:c r="B723" s="52" t="str">
        <x:v>ЦАХИЛГААНЫ САМБАР</x:v>
      </x:c>
      <x:c r="C723" s="52" t="str">
        <x:v>H 4 полса</x:v>
      </x:c>
      <x:c r="D723" s="52" t="str">
        <x:v>25*4мм</x:v>
      </x:c>
      <x:c r="E723" s="52" t="str">
        <x:v>м</x:v>
      </x:c>
      <x:c r="F723" s="53" t="n">
        <x:v>200</x:v>
      </x:c>
      <x:c r="G723" s="54" t="n">
        <x:v>3000</x:v>
      </x:c>
      <x:c r="H723" s="54" t="n">
        <x:v>600000</x:v>
      </x:c>
      <x:c r="I723" s="54" t="n">
        <x:f>IF(AND(ISNUMBER(F723),ISNUMBER(G723)),ROUND(F723*G723,0),H723)</x:f>
        <x:v>600000</x:v>
      </x:c>
      <x:c r="J723" s="54" t="n">
        <x:f>I723-H723</x:f>
        <x:v>0</x:v>
      </x:c>
      <x:c r="K723" s="51" t="str">
        <x:v>Багцын задаргаа</x:v>
      </x:c>
      <x:c r="L723" s="51" t="str">
        <x:f>IF(J723=0,"OK","Шалгах")</x:f>
        <x:v>OK</x:v>
      </x:c>
      <x:c r="M723" s="51" t="str">
        <x:v>Цахилгаан</x:v>
      </x:c>
      <x:c r="N723" s="51" t="n">
        <x:v>132</x:v>
      </x:c>
    </x:row>
    <x:row r="724">
      <x:c r="A724" s="51" t="str">
        <x:v>MAT-6R-0710</x:v>
      </x:c>
      <x:c r="B724" s="52" t="str">
        <x:v>ЦАХИЛГААНЫ САМБАР</x:v>
      </x:c>
      <x:c r="C724" s="52" t="str">
        <x:v>Электродны шингэн металл уусмал</x:v>
      </x:c>
      <x:c r="D724" s="52" t="str"/>
      <x:c r="E724" s="52" t="str">
        <x:v>ш</x:v>
      </x:c>
      <x:c r="F724" s="53" t="n">
        <x:v>2</x:v>
      </x:c>
      <x:c r="G724" s="54" t="n">
        <x:v>15000</x:v>
      </x:c>
      <x:c r="H724" s="54" t="n">
        <x:v>30000</x:v>
      </x:c>
      <x:c r="I724" s="54" t="n">
        <x:f>IF(AND(ISNUMBER(F724),ISNUMBER(G724)),ROUND(F724*G724,0),H724)</x:f>
        <x:v>30000</x:v>
      </x:c>
      <x:c r="J724" s="54" t="n">
        <x:f>I724-H724</x:f>
        <x:v>0</x:v>
      </x:c>
      <x:c r="K724" s="51" t="str">
        <x:v>Багцын задаргаа</x:v>
      </x:c>
      <x:c r="L724" s="51" t="str">
        <x:f>IF(J724=0,"OK","Шалгах")</x:f>
        <x:v>OK</x:v>
      </x:c>
      <x:c r="M724" s="51" t="str">
        <x:v>Цахилгаан</x:v>
      </x:c>
      <x:c r="N724" s="51" t="n">
        <x:v>133</x:v>
      </x:c>
    </x:row>
    <x:row r="725">
      <x:c r="A725" s="51" t="str">
        <x:v>MAT-6R-0711</x:v>
      </x:c>
      <x:c r="B725" s="52" t="str">
        <x:v>ЦАХИЛГААНЫ САМБАР</x:v>
      </x:c>
      <x:c r="C725" s="52" t="str">
        <x:v>Холболтын муфьт</x:v>
      </x:c>
      <x:c r="D725" s="52" t="str"/>
      <x:c r="E725" s="52" t="str">
        <x:v>ш</x:v>
      </x:c>
      <x:c r="F725" s="53" t="n">
        <x:v>25</x:v>
      </x:c>
      <x:c r="G725" s="54" t="n">
        <x:v>6500</x:v>
      </x:c>
      <x:c r="H725" s="54" t="n">
        <x:v>162500</x:v>
      </x:c>
      <x:c r="I725" s="54" t="n">
        <x:f>IF(AND(ISNUMBER(F725),ISNUMBER(G725)),ROUND(F725*G725,0),H725)</x:f>
        <x:v>162500</x:v>
      </x:c>
      <x:c r="J725" s="54" t="n">
        <x:f>I725-H725</x:f>
        <x:v>0</x:v>
      </x:c>
      <x:c r="K725" s="51" t="str">
        <x:v>Багцын задаргаа</x:v>
      </x:c>
      <x:c r="L725" s="51" t="str">
        <x:f>IF(J725=0,"OK","Шалгах")</x:f>
        <x:v>OK</x:v>
      </x:c>
      <x:c r="M725" s="51" t="str">
        <x:v>Цахилгаан</x:v>
      </x:c>
      <x:c r="N725" s="51" t="n">
        <x:v>134</x:v>
      </x:c>
    </x:row>
    <x:row r="726">
      <x:c r="A726" s="51" t="str">
        <x:v>MAT-6R-0712</x:v>
      </x:c>
      <x:c r="B726" s="52" t="str">
        <x:v>ЦАХИЛГААНЫ САМБАР</x:v>
      </x:c>
      <x:c r="C726" s="52" t="str">
        <x:v>H 40 полсаны ханын хавчаарт бэхэлгээ</x:v>
      </x:c>
      <x:c r="D726" s="52" t="str"/>
      <x:c r="E726" s="52" t="str">
        <x:v>ш</x:v>
      </x:c>
      <x:c r="F726" s="53" t="n">
        <x:v>20</x:v>
      </x:c>
      <x:c r="G726" s="54" t="n">
        <x:v>15000</x:v>
      </x:c>
      <x:c r="H726" s="54" t="n">
        <x:v>300000</x:v>
      </x:c>
      <x:c r="I726" s="54" t="n">
        <x:f>IF(AND(ISNUMBER(F726),ISNUMBER(G726)),ROUND(F726*G726,0),H726)</x:f>
        <x:v>300000</x:v>
      </x:c>
      <x:c r="J726" s="54" t="n">
        <x:f>I726-H726</x:f>
        <x:v>0</x:v>
      </x:c>
      <x:c r="K726" s="51" t="str">
        <x:v>Багцын задаргаа</x:v>
      </x:c>
      <x:c r="L726" s="51" t="str">
        <x:f>IF(J726=0,"OK","Шалгах")</x:f>
        <x:v>OK</x:v>
      </x:c>
      <x:c r="M726" s="51" t="str">
        <x:v>Цахилгаан</x:v>
      </x:c>
      <x:c r="N726" s="51" t="n">
        <x:v>135</x:v>
      </x:c>
    </x:row>
    <x:row r="727">
      <x:c r="A727" s="51" t="str">
        <x:v>MAT-6R-0713</x:v>
      </x:c>
      <x:c r="B727" s="52" t="str">
        <x:v>ЦАХИЛГААНЫ САМБАР</x:v>
      </x:c>
      <x:c r="C727" s="52" t="str">
        <x:v>H25 полсаны ханын хавчаарт бэхэлгээ</x:v>
      </x:c>
      <x:c r="D727" s="52" t="str"/>
      <x:c r="E727" s="52" t="str">
        <x:v>ш</x:v>
      </x:c>
      <x:c r="F727" s="53" t="n">
        <x:v>150</x:v>
      </x:c>
      <x:c r="G727" s="54" t="n">
        <x:v>15000</x:v>
      </x:c>
      <x:c r="H727" s="54" t="n">
        <x:v>2250000</x:v>
      </x:c>
      <x:c r="I727" s="54" t="n">
        <x:f>IF(AND(ISNUMBER(F727),ISNUMBER(G727)),ROUND(F727*G727,0),H727)</x:f>
        <x:v>2250000</x:v>
      </x:c>
      <x:c r="J727" s="54" t="n">
        <x:f>I727-H727</x:f>
        <x:v>0</x:v>
      </x:c>
      <x:c r="K727" s="51" t="str">
        <x:v>Багцын задаргаа</x:v>
      </x:c>
      <x:c r="L727" s="51" t="str">
        <x:f>IF(J727=0,"OK","Шалгах")</x:f>
        <x:v>OK</x:v>
      </x:c>
      <x:c r="M727" s="51" t="str">
        <x:v>Цахилгаан</x:v>
      </x:c>
      <x:c r="N727" s="51" t="n">
        <x:v>136</x:v>
      </x:c>
    </x:row>
    <x:row r="728">
      <x:c r="A728" s="51" t="str">
        <x:v>MAT-6R-0714</x:v>
      </x:c>
      <x:c r="B728" s="52" t="str">
        <x:v>ЦАХИЛГААНЫ САМБАР</x:v>
      </x:c>
      <x:c r="C728" s="52" t="str">
        <x:v>ф10 мм цайрдан бөөрөнхий ган</x:v>
      </x:c>
      <x:c r="D728" s="52" t="str"/>
      <x:c r="E728" s="52" t="str">
        <x:v>м</x:v>
      </x:c>
      <x:c r="F728" s="53" t="n">
        <x:v>450</x:v>
      </x:c>
      <x:c r="G728" s="54" t="n">
        <x:v>1600</x:v>
      </x:c>
      <x:c r="H728" s="54" t="n">
        <x:v>720000</x:v>
      </x:c>
      <x:c r="I728" s="54" t="n">
        <x:f>IF(AND(ISNUMBER(F728),ISNUMBER(G728)),ROUND(F728*G728,0),H728)</x:f>
        <x:v>720000</x:v>
      </x:c>
      <x:c r="J728" s="54" t="n">
        <x:f>I728-H728</x:f>
        <x:v>0</x:v>
      </x:c>
      <x:c r="K728" s="51" t="str">
        <x:v>Багцын задаргаа</x:v>
      </x:c>
      <x:c r="L728" s="51" t="str">
        <x:f>IF(J728=0,"OK","Шалгах")</x:f>
        <x:v>OK</x:v>
      </x:c>
      <x:c r="M728" s="51" t="str">
        <x:v>Цахилгаан</x:v>
      </x:c>
      <x:c r="N728" s="51" t="n">
        <x:v>137</x:v>
      </x:c>
    </x:row>
    <x:row r="729">
      <x:c r="A729" s="51" t="str">
        <x:v>MAT-6R-0715</x:v>
      </x:c>
      <x:c r="B729" s="52" t="str">
        <x:v>ЦАХИЛГААНЫ САМБАР</x:v>
      </x:c>
      <x:c r="C729" s="52" t="str">
        <x:v>Урвалаас хамгаалалтын лент</x:v>
      </x:c>
      <x:c r="D729" s="52" t="str"/>
      <x:c r="E729" s="52" t="str">
        <x:v>ш</x:v>
      </x:c>
      <x:c r="F729" s="53" t="n">
        <x:v>10</x:v>
      </x:c>
      <x:c r="G729" s="54" t="n">
        <x:v>15000</x:v>
      </x:c>
      <x:c r="H729" s="54" t="n">
        <x:v>150000</x:v>
      </x:c>
      <x:c r="I729" s="54" t="n">
        <x:f>IF(AND(ISNUMBER(F729),ISNUMBER(G729)),ROUND(F729*G729,0),H729)</x:f>
        <x:v>150000</x:v>
      </x:c>
      <x:c r="J729" s="54" t="n">
        <x:f>I729-H729</x:f>
        <x:v>0</x:v>
      </x:c>
      <x:c r="K729" s="51" t="str">
        <x:v>Багцын задаргаа</x:v>
      </x:c>
      <x:c r="L729" s="51" t="str">
        <x:f>IF(J729=0,"OK","Шалгах")</x:f>
        <x:v>OK</x:v>
      </x:c>
      <x:c r="M729" s="51" t="str">
        <x:v>Цахилгаан</x:v>
      </x:c>
      <x:c r="N729" s="51" t="n">
        <x:v>138</x:v>
      </x:c>
    </x:row>
    <x:row r="730">
      <x:c r="A730" s="51" t="str">
        <x:v>MAT-6R-0716</x:v>
      </x:c>
      <x:c r="B730" s="52" t="str">
        <x:v>ЦАХИЛГААНЫ САМБАР</x:v>
      </x:c>
      <x:c r="C730" s="52" t="str">
        <x:v>ф10 мм хөндийрүүлэгч бэхэлгээ</x:v>
      </x:c>
      <x:c r="D730" s="52" t="str"/>
      <x:c r="E730" s="52" t="str">
        <x:v>ш</x:v>
      </x:c>
      <x:c r="F730" s="53" t="n">
        <x:v>170</x:v>
      </x:c>
      <x:c r="G730" s="54" t="n">
        <x:v>6500</x:v>
      </x:c>
      <x:c r="H730" s="54" t="n">
        <x:v>1105000</x:v>
      </x:c>
      <x:c r="I730" s="54" t="n">
        <x:f>IF(AND(ISNUMBER(F730),ISNUMBER(G730)),ROUND(F730*G730,0),H730)</x:f>
        <x:v>1105000</x:v>
      </x:c>
      <x:c r="J730" s="54" t="n">
        <x:f>I730-H730</x:f>
        <x:v>0</x:v>
      </x:c>
      <x:c r="K730" s="51" t="str">
        <x:v>Багцын задаргаа</x:v>
      </x:c>
      <x:c r="L730" s="51" t="str">
        <x:f>IF(J730=0,"OK","Шалгах")</x:f>
        <x:v>OK</x:v>
      </x:c>
      <x:c r="M730" s="51" t="str">
        <x:v>Цахилгаан</x:v>
      </x:c>
      <x:c r="N730" s="51" t="n">
        <x:v>139</x:v>
      </x:c>
    </x:row>
    <x:row r="731">
      <x:c r="A731" s="51" t="str">
        <x:v>MAT-6R-0717</x:v>
      </x:c>
      <x:c r="B731" s="52" t="str">
        <x:v>ЦАХИЛГААНЫ САМБАР</x:v>
      </x:c>
      <x:c r="C731" s="52" t="str">
        <x:v>Аянга хүлээн авагчийн антенн</x:v>
      </x:c>
      <x:c r="D731" s="52" t="str"/>
      <x:c r="E731" s="52" t="str">
        <x:v>ш</x:v>
      </x:c>
      <x:c r="F731" s="53" t="n">
        <x:v>20</x:v>
      </x:c>
      <x:c r="G731" s="54" t="n">
        <x:v>45000</x:v>
      </x:c>
      <x:c r="H731" s="54" t="n">
        <x:v>900000</x:v>
      </x:c>
      <x:c r="I731" s="54" t="n">
        <x:f>IF(AND(ISNUMBER(F731),ISNUMBER(G731)),ROUND(F731*G731,0),H731)</x:f>
        <x:v>900000</x:v>
      </x:c>
      <x:c r="J731" s="54" t="n">
        <x:f>I731-H731</x:f>
        <x:v>0</x:v>
      </x:c>
      <x:c r="K731" s="51" t="str">
        <x:v>Багцын задаргаа</x:v>
      </x:c>
      <x:c r="L731" s="51" t="str">
        <x:f>IF(J731=0,"OK","Шалгах")</x:f>
        <x:v>OK</x:v>
      </x:c>
      <x:c r="M731" s="51" t="str">
        <x:v>Цахилгаан</x:v>
      </x:c>
      <x:c r="N731" s="51" t="n">
        <x:v>140</x:v>
      </x:c>
    </x:row>
    <x:row r="732">
      <x:c r="A732" s="51" t="str">
        <x:v>MAT-6R-0718</x:v>
      </x:c>
      <x:c r="B732" s="52" t="str">
        <x:v>ЦАХИЛГААНЫ САМБАР</x:v>
      </x:c>
      <x:c r="C732" s="52" t="str">
        <x:v>Аянга хүлээн авагч торны туссгаарлагч дэр</x:v>
      </x:c>
      <x:c r="D732" s="52" t="str"/>
      <x:c r="E732" s="52" t="str">
        <x:v>ш</x:v>
      </x:c>
      <x:c r="F732" s="53" t="n">
        <x:v>76</x:v>
      </x:c>
      <x:c r="G732" s="54"/>
      <x:c r="H732" s="54" t="n">
        <x:v>0</x:v>
      </x:c>
      <x:c r="I732" s="54" t="n">
        <x:f>IF(AND(ISNUMBER(F732),ISNUMBER(G732)),ROUND(F732*G732,0),H732)</x:f>
        <x:v>0</x:v>
      </x:c>
      <x:c r="J732" s="54" t="n">
        <x:f>I732-H732</x:f>
        <x:v>0</x:v>
      </x:c>
      <x:c r="K732" s="51" t="str">
        <x:v>Багцын задаргаа</x:v>
      </x:c>
      <x:c r="L732" s="51" t="str">
        <x:f>IF(J732=0,"OK","Шалгах")</x:f>
        <x:v>OK</x:v>
      </x:c>
      <x:c r="M732" s="51" t="str">
        <x:v>Цахилгаан</x:v>
      </x:c>
      <x:c r="N732" s="51" t="n">
        <x:v>141</x:v>
      </x:c>
    </x:row>
    <x:row r="733">
      <x:c r="A733" s="51" t="str">
        <x:v>MAT-6R-0719</x:v>
      </x:c>
      <x:c r="B733" s="52" t="str">
        <x:v>ЦАХИЛГААНЫ САМБАР</x:v>
      </x:c>
      <x:c r="C733" s="52" t="str">
        <x:v>Цагаан катанги</x:v>
      </x:c>
      <x:c r="D733" s="52" t="str"/>
      <x:c r="E733" s="52" t="str"/>
      <x:c r="F733" s="53"/>
      <x:c r="G733" s="54"/>
      <x:c r="H733" s="54" t="n">
        <x:v>0</x:v>
      </x:c>
      <x:c r="I733" s="54" t="n">
        <x:f>IF(AND(ISNUMBER(F733),ISNUMBER(G733)),ROUND(F733*G733,0),H733)</x:f>
        <x:v>0</x:v>
      </x:c>
      <x:c r="J733" s="54" t="n">
        <x:f>I733-H733</x:f>
        <x:v>0</x:v>
      </x:c>
      <x:c r="K733" s="51" t="str">
        <x:v>Багцын задаргаа</x:v>
      </x:c>
      <x:c r="L733" s="51" t="str">
        <x:f>IF(J733=0,"OK","Шалгах")</x:f>
        <x:v>OK</x:v>
      </x:c>
      <x:c r="M733" s="51" t="str">
        <x:v>Цахилгаан</x:v>
      </x:c>
      <x:c r="N733" s="51" t="n">
        <x:v>142</x:v>
      </x:c>
    </x:row>
    <x:row r="734">
      <x:c r="A734" s="51" t="str">
        <x:v>MAT-6R-0720</x:v>
      </x:c>
      <x:c r="B734" s="52" t="str">
        <x:v>ЦАХИЛГААН ГЭРЭЛТҮҮЛЭГЧ</x:v>
      </x:c>
      <x:c r="C734" s="52" t="str">
        <x:v>Ердийн патрон</x:v>
      </x:c>
      <x:c r="D734" s="52" t="str">
        <x:v>Е27</x:v>
      </x:c>
      <x:c r="E734" s="52" t="str">
        <x:v>ш</x:v>
      </x:c>
      <x:c r="F734" s="53" t="n">
        <x:v>848</x:v>
      </x:c>
      <x:c r="G734" s="54" t="n">
        <x:v>2500</x:v>
      </x:c>
      <x:c r="H734" s="54" t="n">
        <x:v>2120000</x:v>
      </x:c>
      <x:c r="I734" s="54" t="n">
        <x:f>IF(AND(ISNUMBER(F734),ISNUMBER(G734)),ROUND(F734*G734,0),H734)</x:f>
        <x:v>2120000</x:v>
      </x:c>
      <x:c r="J734" s="54" t="n">
        <x:f>I734-H734</x:f>
        <x:v>0</x:v>
      </x:c>
      <x:c r="K734" s="51" t="str">
        <x:v>Багцын задаргаа</x:v>
      </x:c>
      <x:c r="L734" s="51" t="str">
        <x:f>IF(J734=0,"OK","Шалгах")</x:f>
        <x:v>OK</x:v>
      </x:c>
      <x:c r="M734" s="51" t="str">
        <x:v>Цахилгаан</x:v>
      </x:c>
      <x:c r="N734" s="51" t="n">
        <x:v>144</x:v>
      </x:c>
    </x:row>
    <x:row r="735">
      <x:c r="A735" s="51" t="str">
        <x:v>MAT-6R-0721</x:v>
      </x:c>
      <x:c r="B735" s="52" t="str">
        <x:v>ЦАХИЛГААН ГЭРЭЛТҮҮЛЭГЧ</x:v>
      </x:c>
      <x:c r="C735" s="52" t="str">
        <x:v>Туузан гэрэл</x:v>
      </x:c>
      <x:c r="D735" s="52" t="str"/>
      <x:c r="E735" s="52" t="str"/>
      <x:c r="F735" s="53"/>
      <x:c r="G735" s="54" t="n">
        <x:v>6500</x:v>
      </x:c>
      <x:c r="H735" s="54" t="n">
        <x:v>0</x:v>
      </x:c>
      <x:c r="I735" s="54" t="n">
        <x:f>IF(AND(ISNUMBER(F735),ISNUMBER(G735)),ROUND(F735*G735,0),H735)</x:f>
        <x:v>0</x:v>
      </x:c>
      <x:c r="J735" s="54" t="n">
        <x:f>I735-H735</x:f>
        <x:v>0</x:v>
      </x:c>
      <x:c r="K735" s="51" t="str">
        <x:v>Багцын задаргаа</x:v>
      </x:c>
      <x:c r="L735" s="51" t="str">
        <x:f>IF(J735=0,"OK","Шалгах")</x:f>
        <x:v>OK</x:v>
      </x:c>
      <x:c r="M735" s="51" t="str">
        <x:v>Цахилгаан</x:v>
      </x:c>
      <x:c r="N735" s="51" t="n">
        <x:v>145</x:v>
      </x:c>
    </x:row>
    <x:row r="736">
      <x:c r="A736" s="51" t="str">
        <x:v>MAT-6R-0722</x:v>
      </x:c>
      <x:c r="B736" s="52" t="str">
        <x:v>ЦАХИЛГААН ГЭРЭЛТҮҮЛЭГЧ</x:v>
      </x:c>
      <x:c r="C736" s="52" t="str">
        <x:v>Залгуур -Туузан гэрэл</x:v>
      </x:c>
      <x:c r="D736" s="52" t="str"/>
      <x:c r="E736" s="52" t="str"/>
      <x:c r="F736" s="53"/>
      <x:c r="G736" s="54" t="n">
        <x:v>4500</x:v>
      </x:c>
      <x:c r="H736" s="54" t="n">
        <x:v>0</x:v>
      </x:c>
      <x:c r="I736" s="54" t="n">
        <x:f>IF(AND(ISNUMBER(F736),ISNUMBER(G736)),ROUND(F736*G736,0),H736)</x:f>
        <x:v>0</x:v>
      </x:c>
      <x:c r="J736" s="54" t="n">
        <x:f>I736-H736</x:f>
        <x:v>0</x:v>
      </x:c>
      <x:c r="K736" s="51" t="str">
        <x:v>Багцын задаргаа</x:v>
      </x:c>
      <x:c r="L736" s="51" t="str">
        <x:f>IF(J736=0,"OK","Шалгах")</x:f>
        <x:v>OK</x:v>
      </x:c>
      <x:c r="M736" s="51" t="str">
        <x:v>Цахилгаан</x:v>
      </x:c>
      <x:c r="N736" s="51" t="n">
        <x:v>146</x:v>
      </x:c>
    </x:row>
    <x:row r="737">
      <x:c r="A737" s="51" t="str">
        <x:v>MAT-6R-0723</x:v>
      </x:c>
      <x:c r="B737" s="52" t="str">
        <x:v>ЦАХИЛГААН ГЭРЭЛТҮҮЛЭГЧ</x:v>
      </x:c>
      <x:c r="C737" s="52" t="str">
        <x:v>Ус чийгнээс хамгаалагдсан хана, таазанд тоноглох LED гэрэл</x:v>
      </x:c>
      <x:c r="D737" s="52" t="str">
        <x:v>IP&gt;24</x:v>
      </x:c>
      <x:c r="E737" s="52" t="str">
        <x:v>ш</x:v>
      </x:c>
      <x:c r="F737" s="53" t="n">
        <x:v>159</x:v>
      </x:c>
      <x:c r="G737" s="54" t="n">
        <x:v>15000</x:v>
      </x:c>
      <x:c r="H737" s="54" t="n">
        <x:v>2385000</x:v>
      </x:c>
      <x:c r="I737" s="54" t="n">
        <x:f>IF(AND(ISNUMBER(F737),ISNUMBER(G737)),ROUND(F737*G737,0),H737)</x:f>
        <x:v>2385000</x:v>
      </x:c>
      <x:c r="J737" s="54" t="n">
        <x:f>I737-H737</x:f>
        <x:v>0</x:v>
      </x:c>
      <x:c r="K737" s="51" t="str">
        <x:v>Багцын задаргаа</x:v>
      </x:c>
      <x:c r="L737" s="51" t="str">
        <x:f>IF(J737=0,"OK","Шалгах")</x:f>
        <x:v>OK</x:v>
      </x:c>
      <x:c r="M737" s="51" t="str">
        <x:v>Цахилгаан</x:v>
      </x:c>
      <x:c r="N737" s="51" t="n">
        <x:v>147</x:v>
      </x:c>
    </x:row>
    <x:row r="738">
      <x:c r="A738" s="51" t="str">
        <x:v>MAT-6R-0724</x:v>
      </x:c>
      <x:c r="B738" s="52" t="str">
        <x:v>ЦАХИЛГААН ГЭРЭЛТҮҮЛЭГЧ</x:v>
      </x:c>
      <x:c r="C738" s="52" t="str">
        <x:v>100 Вт-ын LED гэрэлтэй, таазанд тоноглох гэрэлтүүлэгч</x:v>
      </x:c>
      <x:c r="D738" s="52" t="str">
        <x:v>IP&gt;20</x:v>
      </x:c>
      <x:c r="E738" s="52" t="str">
        <x:v>ш</x:v>
      </x:c>
      <x:c r="F738" s="53" t="n">
        <x:v>224</x:v>
      </x:c>
      <x:c r="G738" s="54" t="n">
        <x:v>10000</x:v>
      </x:c>
      <x:c r="H738" s="54" t="n">
        <x:v>2240000</x:v>
      </x:c>
      <x:c r="I738" s="54" t="n">
        <x:f>IF(AND(ISNUMBER(F738),ISNUMBER(G738)),ROUND(F738*G738,0),H738)</x:f>
        <x:v>2240000</x:v>
      </x:c>
      <x:c r="J738" s="54" t="n">
        <x:f>I738-H738</x:f>
        <x:v>0</x:v>
      </x:c>
      <x:c r="K738" s="51" t="str">
        <x:v>Багцын задаргаа</x:v>
      </x:c>
      <x:c r="L738" s="51" t="str">
        <x:f>IF(J738=0,"OK","Шалгах")</x:f>
        <x:v>OK</x:v>
      </x:c>
      <x:c r="M738" s="51" t="str">
        <x:v>Цахилгаан</x:v>
      </x:c>
      <x:c r="N738" s="51" t="n">
        <x:v>148</x:v>
      </x:c>
    </x:row>
    <x:row r="739">
      <x:c r="A739" s="51" t="str">
        <x:v>MAT-6R-0725</x:v>
      </x:c>
      <x:c r="B739" s="52" t="str">
        <x:v>ЦАХИЛГААН ГЭРЭЛТҮҮЛЭГЧ</x:v>
      </x:c>
      <x:c r="C739" s="52" t="str">
        <x:v>Хөдөлгөөн мэдрэгчтэй гэрэл</x:v>
      </x:c>
      <x:c r="D739" s="52" t="str"/>
      <x:c r="E739" s="52" t="str"/>
      <x:c r="F739" s="53"/>
      <x:c r="G739" s="54" t="n">
        <x:v>11000</x:v>
      </x:c>
      <x:c r="H739" s="54" t="n">
        <x:v>0</x:v>
      </x:c>
      <x:c r="I739" s="54" t="n">
        <x:f>IF(AND(ISNUMBER(F739),ISNUMBER(G739)),ROUND(F739*G739,0),H739)</x:f>
        <x:v>0</x:v>
      </x:c>
      <x:c r="J739" s="54" t="n">
        <x:f>I739-H739</x:f>
        <x:v>0</x:v>
      </x:c>
      <x:c r="K739" s="51" t="str">
        <x:v>Багцын задаргаа</x:v>
      </x:c>
      <x:c r="L739" s="51" t="str">
        <x:f>IF(J739=0,"OK","Шалгах")</x:f>
        <x:v>OK</x:v>
      </x:c>
      <x:c r="M739" s="51" t="str">
        <x:v>Цахилгаан</x:v>
      </x:c>
      <x:c r="N739" s="51" t="n">
        <x:v>149</x:v>
      </x:c>
    </x:row>
    <x:row r="740">
      <x:c r="A740" s="51" t="str">
        <x:v>MAT-6R-0726</x:v>
      </x:c>
      <x:c r="B740" s="52" t="str">
        <x:v>ЦАХИЛГААН ГЭРЭЛТҮҮЛЭГЧ</x:v>
      </x:c>
      <x:c r="C740" s="52" t="str">
        <x:v>Ус чийгнээс хамгаалагдсан хана, таазанд тоноглох, хамгаалалтын тортой гадна гэрэлтүүлэгч (100 Вт)</x:v>
      </x:c>
      <x:c r="D740" s="52" t="str">
        <x:v>IP&gt;44</x:v>
      </x:c>
      <x:c r="E740" s="52" t="str">
        <x:v>ш</x:v>
      </x:c>
      <x:c r="F740" s="53" t="n">
        <x:v>60</x:v>
      </x:c>
      <x:c r="G740" s="54" t="n">
        <x:v>15000</x:v>
      </x:c>
      <x:c r="H740" s="54" t="n">
        <x:v>900000</x:v>
      </x:c>
      <x:c r="I740" s="54" t="n">
        <x:f>IF(AND(ISNUMBER(F740),ISNUMBER(G740)),ROUND(F740*G740,0),H740)</x:f>
        <x:v>900000</x:v>
      </x:c>
      <x:c r="J740" s="54" t="n">
        <x:f>I740-H740</x:f>
        <x:v>0</x:v>
      </x:c>
      <x:c r="K740" s="51" t="str">
        <x:v>Багцын задаргаа</x:v>
      </x:c>
      <x:c r="L740" s="51" t="str">
        <x:f>IF(J740=0,"OK","Шалгах")</x:f>
        <x:v>OK</x:v>
      </x:c>
      <x:c r="M740" s="51" t="str">
        <x:v>Цахилгаан</x:v>
      </x:c>
      <x:c r="N740" s="51" t="n">
        <x:v>150</x:v>
      </x:c>
    </x:row>
    <x:row r="741">
      <x:c r="A741" s="51" t="str">
        <x:v>MAT-6R-0727</x:v>
      </x:c>
      <x:c r="B741" s="52" t="str">
        <x:v>ЦАХИЛГААН ГЭРЭЛТҮҮЛЭГЧ</x:v>
      </x:c>
      <x:c r="C741" s="52" t="str">
        <x:v>2х28 Вт-ын LED гэрэлтэй ил таазанд тоноглох гэрэлтүүлэгч</x:v>
      </x:c>
      <x:c r="D741" s="52" t="str">
        <x:v>IP&gt;20</x:v>
      </x:c>
      <x:c r="E741" s="52" t="str">
        <x:v>ш</x:v>
      </x:c>
      <x:c r="F741" s="53" t="n">
        <x:v>46</x:v>
      </x:c>
      <x:c r="G741" s="54" t="n">
        <x:v>10000</x:v>
      </x:c>
      <x:c r="H741" s="54" t="n">
        <x:v>460000</x:v>
      </x:c>
      <x:c r="I741" s="54" t="n">
        <x:f>IF(AND(ISNUMBER(F741),ISNUMBER(G741)),ROUND(F741*G741,0),H741)</x:f>
        <x:v>460000</x:v>
      </x:c>
      <x:c r="J741" s="54" t="n">
        <x:f>I741-H741</x:f>
        <x:v>0</x:v>
      </x:c>
      <x:c r="K741" s="51" t="str">
        <x:v>Багцын задаргаа</x:v>
      </x:c>
      <x:c r="L741" s="51" t="str">
        <x:f>IF(J741=0,"OK","Шалгах")</x:f>
        <x:v>OK</x:v>
      </x:c>
      <x:c r="M741" s="51" t="str">
        <x:v>Цахилгаан</x:v>
      </x:c>
      <x:c r="N741" s="51" t="n">
        <x:v>151</x:v>
      </x:c>
    </x:row>
    <x:row r="742">
      <x:c r="A742" s="51" t="str">
        <x:v>MAT-6R-0728</x:v>
      </x:c>
      <x:c r="B742" s="52" t="str">
        <x:v>ЦАХИЛГААН ГЭРЭЛТҮҮЛЭГЧ</x:v>
      </x:c>
      <x:c r="C742" s="52" t="str">
        <x:v>2х28 Вт-ын LED гэрэлтэй ил таазанд тоноглох ус чийгнээс хамгаалагдсан гэрэлтүүлэгч</x:v>
      </x:c>
      <x:c r="D742" s="52" t="str">
        <x:v>IP&gt;24</x:v>
      </x:c>
      <x:c r="E742" s="52" t="str">
        <x:v>ш</x:v>
      </x:c>
      <x:c r="F742" s="53" t="n">
        <x:v>37</x:v>
      </x:c>
      <x:c r="G742" s="54" t="n">
        <x:v>12000</x:v>
      </x:c>
      <x:c r="H742" s="54" t="n">
        <x:v>444000</x:v>
      </x:c>
      <x:c r="I742" s="54" t="n">
        <x:f>IF(AND(ISNUMBER(F742),ISNUMBER(G742)),ROUND(F742*G742,0),H742)</x:f>
        <x:v>444000</x:v>
      </x:c>
      <x:c r="J742" s="54" t="n">
        <x:f>I742-H742</x:f>
        <x:v>0</x:v>
      </x:c>
      <x:c r="K742" s="51" t="str">
        <x:v>Багцын задаргаа</x:v>
      </x:c>
      <x:c r="L742" s="51" t="str">
        <x:f>IF(J742=0,"OK","Шалгах")</x:f>
        <x:v>OK</x:v>
      </x:c>
      <x:c r="M742" s="51" t="str">
        <x:v>Цахилгаан</x:v>
      </x:c>
      <x:c r="N742" s="51" t="n">
        <x:v>152</x:v>
      </x:c>
    </x:row>
    <x:row r="743">
      <x:c r="A743" s="51" t="str">
        <x:v>MAT-6R-0729</x:v>
      </x:c>
      <x:c r="B743" s="52" t="str">
        <x:v>ЦАХИЛГААН ГЭРЭЛТҮҮЛЭГЧ</x:v>
      </x:c>
      <x:c r="C743" s="52" t="str">
        <x:v>2х10 Вт-ын нөөцийн батерейтай LED аваарын гэрэлтүүлэгч</x:v>
      </x:c>
      <x:c r="D743" s="52" t="str">
        <x:v>IP&gt;20</x:v>
      </x:c>
      <x:c r="E743" s="52" t="str">
        <x:v>ш</x:v>
      </x:c>
      <x:c r="F743" s="53" t="n">
        <x:v>17</x:v>
      </x:c>
      <x:c r="G743" s="54" t="n">
        <x:v>45000</x:v>
      </x:c>
      <x:c r="H743" s="54" t="n">
        <x:v>765000</x:v>
      </x:c>
      <x:c r="I743" s="54" t="n">
        <x:f>IF(AND(ISNUMBER(F743),ISNUMBER(G743)),ROUND(F743*G743,0),H743)</x:f>
        <x:v>765000</x:v>
      </x:c>
      <x:c r="J743" s="54" t="n">
        <x:f>I743-H743</x:f>
        <x:v>0</x:v>
      </x:c>
      <x:c r="K743" s="51" t="str">
        <x:v>Багцын задаргаа</x:v>
      </x:c>
      <x:c r="L743" s="51" t="str">
        <x:f>IF(J743=0,"OK","Шалгах")</x:f>
        <x:v>OK</x:v>
      </x:c>
      <x:c r="M743" s="51" t="str">
        <x:v>Цахилгаан</x:v>
      </x:c>
      <x:c r="N743" s="51" t="n">
        <x:v>153</x:v>
      </x:c>
    </x:row>
    <x:row r="744">
      <x:c r="A744" s="51" t="str">
        <x:v>MAT-6R-0730</x:v>
      </x:c>
      <x:c r="B744" s="52" t="str">
        <x:v>ЦАХИЛГААН ГЭРЭЛТҮҮЛЭГЧ</x:v>
      </x:c>
      <x:c r="C744" s="52" t="str">
        <x:v>2х10 Вт-ын гаражийн дохионы LED гэрэлтүүлэгч</x:v>
      </x:c>
      <x:c r="D744" s="52" t="str">
        <x:v>IP&gt;20</x:v>
      </x:c>
      <x:c r="E744" s="52" t="str">
        <x:v>ш</x:v>
      </x:c>
      <x:c r="F744" s="53" t="n">
        <x:v>28</x:v>
      </x:c>
      <x:c r="G744" s="54" t="n">
        <x:v>22000</x:v>
      </x:c>
      <x:c r="H744" s="54" t="n">
        <x:v>616000</x:v>
      </x:c>
      <x:c r="I744" s="54" t="n">
        <x:f>IF(AND(ISNUMBER(F744),ISNUMBER(G744)),ROUND(F744*G744,0),H744)</x:f>
        <x:v>616000</x:v>
      </x:c>
      <x:c r="J744" s="54" t="n">
        <x:f>I744-H744</x:f>
        <x:v>0</x:v>
      </x:c>
      <x:c r="K744" s="51" t="str">
        <x:v>Багцын задаргаа</x:v>
      </x:c>
      <x:c r="L744" s="51" t="str">
        <x:f>IF(J744=0,"OK","Шалгах")</x:f>
        <x:v>OK</x:v>
      </x:c>
      <x:c r="M744" s="51" t="str">
        <x:v>Цахилгаан</x:v>
      </x:c>
      <x:c r="N744" s="51" t="n">
        <x:v>154</x:v>
      </x:c>
    </x:row>
    <x:row r="745">
      <x:c r="A745" s="51" t="str">
        <x:v>MAT-6R-0731</x:v>
      </x:c>
      <x:c r="B745" s="52" t="str">
        <x:v>ЦАХИЛГААН ГЭРЭЛТҮҮЛЭГЧ</x:v>
      </x:c>
      <x:c r="C745" s="52" t="str">
        <x:v>Гарцын тэмдэглэгээтэй нөөцийн батерейтай LED гэрэлтүүлэгч</x:v>
      </x:c>
      <x:c r="D745" s="52" t="str">
        <x:v>IP&gt;20</x:v>
      </x:c>
      <x:c r="E745" s="52" t="str">
        <x:v>ш</x:v>
      </x:c>
      <x:c r="F745" s="53" t="n">
        <x:v>12</x:v>
      </x:c>
      <x:c r="G745" s="54" t="n">
        <x:v>16000</x:v>
      </x:c>
      <x:c r="H745" s="54" t="n">
        <x:v>192000</x:v>
      </x:c>
      <x:c r="I745" s="54" t="n">
        <x:f>IF(AND(ISNUMBER(F745),ISNUMBER(G745)),ROUND(F745*G745,0),H745)</x:f>
        <x:v>192000</x:v>
      </x:c>
      <x:c r="J745" s="54" t="n">
        <x:f>I745-H745</x:f>
        <x:v>0</x:v>
      </x:c>
      <x:c r="K745" s="51" t="str">
        <x:v>Багцын задаргаа</x:v>
      </x:c>
      <x:c r="L745" s="51" t="str">
        <x:f>IF(J745=0,"OK","Шалгах")</x:f>
        <x:v>OK</x:v>
      </x:c>
      <x:c r="M745" s="51" t="str">
        <x:v>Цахилгаан</x:v>
      </x:c>
      <x:c r="N745" s="51" t="n">
        <x:v>155</x:v>
      </x:c>
    </x:row>
    <x:row r="746">
      <x:c r="A746" s="51" t="str">
        <x:v>MAT-6R-0732</x:v>
      </x:c>
      <x:c r="B746" s="52" t="str">
        <x:v>ЦАХИЛГААН ГЭРЭЛТҮҮЛЭГЧ</x:v>
      </x:c>
      <x:c r="C746" s="52" t="str">
        <x:v>Гражийн гэрэл 1200*0.1</x:v>
      </x:c>
      <x:c r="D746" s="52" t="str"/>
      <x:c r="E746" s="52" t="str">
        <x:v>ш</x:v>
      </x:c>
      <x:c r="F746" s="53" t="n">
        <x:v>30</x:v>
      </x:c>
      <x:c r="G746" s="54" t="n">
        <x:v>71000</x:v>
      </x:c>
      <x:c r="H746" s="54" t="n">
        <x:v>2130000</x:v>
      </x:c>
      <x:c r="I746" s="54" t="n">
        <x:f>IF(AND(ISNUMBER(F746),ISNUMBER(G746)),ROUND(F746*G746,0),H746)</x:f>
        <x:v>2130000</x:v>
      </x:c>
      <x:c r="J746" s="54" t="n">
        <x:f>I746-H746</x:f>
        <x:v>0</x:v>
      </x:c>
      <x:c r="K746" s="51" t="str">
        <x:v>Багцын задаргаа</x:v>
      </x:c>
      <x:c r="L746" s="51" t="str">
        <x:f>IF(J746=0,"OK","Шалгах")</x:f>
        <x:v>OK</x:v>
      </x:c>
      <x:c r="M746" s="51" t="str">
        <x:v>Цахилгаан</x:v>
      </x:c>
      <x:c r="N746" s="51" t="n">
        <x:v>156</x:v>
      </x:c>
    </x:row>
    <x:row r="747">
      <x:c r="A747" s="51" t="str">
        <x:v>MAT-6R-0733</x:v>
      </x:c>
      <x:c r="B747" s="52" t="str">
        <x:v>ЦАХИЛГААН ГЭРЭЛТҮҮЛЭГЧ</x:v>
      </x:c>
      <x:c r="C747" s="52" t="str">
        <x:v>Улайсах чийдэн</x:v>
      </x:c>
      <x:c r="D747" s="52" t="str">
        <x:v>230В, 60 вт</x:v>
      </x:c>
      <x:c r="E747" s="52" t="str">
        <x:v>ш</x:v>
      </x:c>
      <x:c r="F747" s="53" t="n">
        <x:v>1231</x:v>
      </x:c>
      <x:c r="G747" s="54" t="n">
        <x:v>2500</x:v>
      </x:c>
      <x:c r="H747" s="54" t="n">
        <x:v>3077500</x:v>
      </x:c>
      <x:c r="I747" s="54" t="n">
        <x:f>IF(AND(ISNUMBER(F747),ISNUMBER(G747)),ROUND(F747*G747,0),H747)</x:f>
        <x:v>3077500</x:v>
      </x:c>
      <x:c r="J747" s="54" t="n">
        <x:f>I747-H747</x:f>
        <x:v>0</x:v>
      </x:c>
      <x:c r="K747" s="51" t="str">
        <x:v>Багцын задаргаа</x:v>
      </x:c>
      <x:c r="L747" s="51" t="str">
        <x:f>IF(J747=0,"OK","Шалгах")</x:f>
        <x:v>OK</x:v>
      </x:c>
      <x:c r="M747" s="51" t="str">
        <x:v>Цахилгаан</x:v>
      </x:c>
      <x:c r="N747" s="51" t="n">
        <x:v>157</x:v>
      </x:c>
    </x:row>
    <x:row r="748">
      <x:c r="A748" s="51" t="str">
        <x:v>MAT-6R-0734</x:v>
      </x:c>
      <x:c r="B748" s="52" t="str">
        <x:v>ЦАХИЛГААН ГЭРЭЛТҮҮЛЭГЧ</x:v>
      </x:c>
      <x:c r="C748" s="52" t="str">
        <x:v>Нэмэлт гэрэлтүүлэг</x:v>
      </x:c>
      <x:c r="D748" s="52" t="str">
        <x:v>230В, 26 вт</x:v>
      </x:c>
      <x:c r="E748" s="52" t="str">
        <x:v>ш</x:v>
      </x:c>
      <x:c r="F748" s="53"/>
      <x:c r="G748" s="54"/>
      <x:c r="H748" s="54" t="n">
        <x:v>0</x:v>
      </x:c>
      <x:c r="I748" s="54" t="n">
        <x:f>IF(AND(ISNUMBER(F748),ISNUMBER(G748)),ROUND(F748*G748,0),H748)</x:f>
        <x:v>0</x:v>
      </x:c>
      <x:c r="J748" s="54" t="n">
        <x:f>I748-H748</x:f>
        <x:v>0</x:v>
      </x:c>
      <x:c r="K748" s="51" t="str">
        <x:v>Багцын задаргаа</x:v>
      </x:c>
      <x:c r="L748" s="51" t="str">
        <x:f>IF(J748=0,"OK","Шалгах")</x:f>
        <x:v>OK</x:v>
      </x:c>
      <x:c r="M748" s="51" t="str">
        <x:v>Цахилгаан</x:v>
      </x:c>
      <x:c r="N748" s="51" t="n">
        <x:v>158</x:v>
      </x:c>
    </x:row>
    <x:row r="749">
      <x:c r="A749" s="51" t="str">
        <x:v>MAT-6R-0735</x:v>
      </x:c>
      <x:c r="B749" s="52" t="str">
        <x:v>ЦАХИЛГААН ГЭРЭЛТҮҮЛЭГЧ</x:v>
      </x:c>
      <x:c r="C749" s="52" t="str">
        <x:v>Газардуулгын контак, хамгаалалтын хаалттай, далд тавих розетка</x:v>
      </x:c>
      <x:c r="D749" s="52" t="str">
        <x:v>IP&gt;20 16А</x:v>
      </x:c>
      <x:c r="E749" s="52" t="str">
        <x:v>ш</x:v>
      </x:c>
      <x:c r="F749" s="53" t="n">
        <x:v>1345</x:v>
      </x:c>
      <x:c r="G749" s="54" t="n">
        <x:v>7500</x:v>
      </x:c>
      <x:c r="H749" s="54" t="n">
        <x:v>10087500</x:v>
      </x:c>
      <x:c r="I749" s="54" t="n">
        <x:f>IF(AND(ISNUMBER(F749),ISNUMBER(G749)),ROUND(F749*G749,0),H749)</x:f>
        <x:v>10087500</x:v>
      </x:c>
      <x:c r="J749" s="54" t="n">
        <x:f>I749-H749</x:f>
        <x:v>0</x:v>
      </x:c>
      <x:c r="K749" s="51" t="str">
        <x:v>Багцын задаргаа</x:v>
      </x:c>
      <x:c r="L749" s="51" t="str">
        <x:f>IF(J749=0,"OK","Шалгах")</x:f>
        <x:v>OK</x:v>
      </x:c>
      <x:c r="M749" s="51" t="str">
        <x:v>Цахилгаан</x:v>
      </x:c>
      <x:c r="N749" s="51" t="n">
        <x:v>159</x:v>
      </x:c>
    </x:row>
    <x:row r="750">
      <x:c r="A750" s="51" t="str">
        <x:v>MAT-6R-0736</x:v>
      </x:c>
      <x:c r="B750" s="52" t="str">
        <x:v>ЦАХИЛГААН ГЭРЭЛТҮҮЛЭГЧ</x:v>
      </x:c>
      <x:c r="C750" s="52" t="str">
        <x:v>Газардуулгын контак, далд тавих ус чийгнээс</x:v>
      </x:c>
      <x:c r="D750" s="52" t="str">
        <x:v>IP&gt;24 16А</x:v>
      </x:c>
      <x:c r="E750" s="52" t="str">
        <x:v>ш</x:v>
      </x:c>
      <x:c r="F750" s="53" t="n">
        <x:v>599</x:v>
      </x:c>
      <x:c r="G750" s="54" t="n">
        <x:v>11000</x:v>
      </x:c>
      <x:c r="H750" s="54" t="n">
        <x:v>6589000</x:v>
      </x:c>
      <x:c r="I750" s="54" t="n">
        <x:f>IF(AND(ISNUMBER(F750),ISNUMBER(G750)),ROUND(F750*G750,0),H750)</x:f>
        <x:v>6589000</x:v>
      </x:c>
      <x:c r="J750" s="54" t="n">
        <x:f>I750-H750</x:f>
        <x:v>0</x:v>
      </x:c>
      <x:c r="K750" s="51" t="str">
        <x:v>Багцын задаргаа</x:v>
      </x:c>
      <x:c r="L750" s="51" t="str">
        <x:f>IF(J750=0,"OK","Шалгах")</x:f>
        <x:v>OK</x:v>
      </x:c>
      <x:c r="M750" s="51" t="str">
        <x:v>Цахилгаан</x:v>
      </x:c>
      <x:c r="N750" s="51" t="n">
        <x:v>160</x:v>
      </x:c>
    </x:row>
    <x:row r="751">
      <x:c r="A751" s="51" t="str">
        <x:v>MAT-6R-0737</x:v>
      </x:c>
      <x:c r="B751" s="52" t="str">
        <x:v>ЦАХИЛГААН ГЭРЭЛТҮҮЛЭГЧ</x:v>
      </x:c>
      <x:c r="C751" s="52" t="str">
        <x:v>Газардуулгын контак, хамгаалалтын хаалттай , ил тавих хоёрлсон розетка</x:v>
      </x:c>
      <x:c r="D751" s="52" t="str">
        <x:v>IP&gt;24 2х16А</x:v>
      </x:c>
      <x:c r="E751" s="52" t="str">
        <x:v>ш</x:v>
      </x:c>
      <x:c r="F751" s="53" t="n">
        <x:v>663</x:v>
      </x:c>
      <x:c r="G751" s="54" t="n">
        <x:v>15000</x:v>
      </x:c>
      <x:c r="H751" s="54" t="n">
        <x:v>9945000</x:v>
      </x:c>
      <x:c r="I751" s="54" t="n">
        <x:f>IF(AND(ISNUMBER(F751),ISNUMBER(G751)),ROUND(F751*G751,0),H751)</x:f>
        <x:v>9945000</x:v>
      </x:c>
      <x:c r="J751" s="54" t="n">
        <x:f>I751-H751</x:f>
        <x:v>0</x:v>
      </x:c>
      <x:c r="K751" s="51" t="str">
        <x:v>Багцын задаргаа</x:v>
      </x:c>
      <x:c r="L751" s="51" t="str">
        <x:f>IF(J751=0,"OK","Шалгах")</x:f>
        <x:v>OK</x:v>
      </x:c>
      <x:c r="M751" s="51" t="str">
        <x:v>Цахилгаан</x:v>
      </x:c>
      <x:c r="N751" s="51" t="n">
        <x:v>161</x:v>
      </x:c>
    </x:row>
    <x:row r="752">
      <x:c r="A752" s="51" t="str">
        <x:v>MAT-6R-0738</x:v>
      </x:c>
      <x:c r="B752" s="52" t="str">
        <x:v>ЦАХИЛГААН ГЭРЭЛТҮҮЛЭГЧ</x:v>
      </x:c>
      <x:c r="C752" s="52" t="str">
        <x:v>Нэг даралттай далд тавих унтраалга</x:v>
      </x:c>
      <x:c r="D752" s="52" t="str">
        <x:v>IP&gt;20 16А</x:v>
      </x:c>
      <x:c r="E752" s="52" t="str">
        <x:v>ш</x:v>
      </x:c>
      <x:c r="F752" s="53" t="n">
        <x:v>450</x:v>
      </x:c>
      <x:c r="G752" s="54" t="n">
        <x:v>7000</x:v>
      </x:c>
      <x:c r="H752" s="54" t="n">
        <x:v>3150000</x:v>
      </x:c>
      <x:c r="I752" s="54" t="n">
        <x:f>IF(AND(ISNUMBER(F752),ISNUMBER(G752)),ROUND(F752*G752,0),H752)</x:f>
        <x:v>3150000</x:v>
      </x:c>
      <x:c r="J752" s="54" t="n">
        <x:f>I752-H752</x:f>
        <x:v>0</x:v>
      </x:c>
      <x:c r="K752" s="51" t="str">
        <x:v>Багцын задаргаа</x:v>
      </x:c>
      <x:c r="L752" s="51" t="str">
        <x:f>IF(J752=0,"OK","Шалгах")</x:f>
        <x:v>OK</x:v>
      </x:c>
      <x:c r="M752" s="51" t="str">
        <x:v>Цахилгаан</x:v>
      </x:c>
      <x:c r="N752" s="51" t="n">
        <x:v>162</x:v>
      </x:c>
    </x:row>
    <x:row r="753">
      <x:c r="A753" s="51" t="str">
        <x:v>MAT-6R-0739</x:v>
      </x:c>
      <x:c r="B753" s="52" t="str">
        <x:v>ЦАХИЛГААН ГЭРЭЛТҮҮЛЭГЧ</x:v>
      </x:c>
      <x:c r="C753" s="52" t="str">
        <x:v>Хоёр даралттай далд тавих унтраалга</x:v>
      </x:c>
      <x:c r="D753" s="52" t="str">
        <x:v>IP&gt;20 16А</x:v>
      </x:c>
      <x:c r="E753" s="52" t="str">
        <x:v>ш</x:v>
      </x:c>
      <x:c r="F753" s="53" t="n">
        <x:v>530</x:v>
      </x:c>
      <x:c r="G753" s="54" t="n">
        <x:v>7500</x:v>
      </x:c>
      <x:c r="H753" s="54" t="n">
        <x:v>3975000</x:v>
      </x:c>
      <x:c r="I753" s="54" t="n">
        <x:f>IF(AND(ISNUMBER(F753),ISNUMBER(G753)),ROUND(F753*G753,0),H753)</x:f>
        <x:v>3975000</x:v>
      </x:c>
      <x:c r="J753" s="54" t="n">
        <x:f>I753-H753</x:f>
        <x:v>0</x:v>
      </x:c>
      <x:c r="K753" s="51" t="str">
        <x:v>Багцын задаргаа</x:v>
      </x:c>
      <x:c r="L753" s="51" t="str">
        <x:f>IF(J753=0,"OK","Шалгах")</x:f>
        <x:v>OK</x:v>
      </x:c>
      <x:c r="M753" s="51" t="str">
        <x:v>Цахилгаан</x:v>
      </x:c>
      <x:c r="N753" s="51" t="n">
        <x:v>163</x:v>
      </x:c>
    </x:row>
    <x:row r="754">
      <x:c r="A754" s="51" t="str">
        <x:v>MAT-6R-0740</x:v>
      </x:c>
      <x:c r="B754" s="52" t="str">
        <x:v>ЦАХИЛГААН ГЭРЭЛТҮҮЛЭГЧ</x:v>
      </x:c>
      <x:c r="C754" s="52" t="str">
        <x:v>Нэг даралттай далд тавих ус чийгнээс хамгаалагдсан унтраалга</x:v>
      </x:c>
      <x:c r="D754" s="52" t="str">
        <x:v>IP&gt;20 16А</x:v>
      </x:c>
      <x:c r="E754" s="52" t="str">
        <x:v>ш</x:v>
      </x:c>
      <x:c r="F754" s="53" t="n">
        <x:v>25</x:v>
      </x:c>
      <x:c r="G754" s="54" t="n">
        <x:v>10500</x:v>
      </x:c>
      <x:c r="H754" s="54" t="n">
        <x:v>262500</x:v>
      </x:c>
      <x:c r="I754" s="54" t="n">
        <x:f>IF(AND(ISNUMBER(F754),ISNUMBER(G754)),ROUND(F754*G754,0),H754)</x:f>
        <x:v>262500</x:v>
      </x:c>
      <x:c r="J754" s="54" t="n">
        <x:f>I754-H754</x:f>
        <x:v>0</x:v>
      </x:c>
      <x:c r="K754" s="51" t="str">
        <x:v>Багцын задаргаа</x:v>
      </x:c>
      <x:c r="L754" s="51" t="str">
        <x:f>IF(J754=0,"OK","Шалгах")</x:f>
        <x:v>OK</x:v>
      </x:c>
      <x:c r="M754" s="51" t="str">
        <x:v>Цахилгаан</x:v>
      </x:c>
      <x:c r="N754" s="51" t="n">
        <x:v>164</x:v>
      </x:c>
    </x:row>
    <x:row r="755">
      <x:c r="A755" s="51" t="str">
        <x:v>MAT-6R-0741</x:v>
      </x:c>
      <x:c r="B755" s="52" t="str">
        <x:v>ЦАХИЛГААН ГЭРЭЛТҮҮЛЭГЧ</x:v>
      </x:c>
      <x:c r="C755" s="52" t="str">
        <x:v>Хоёр даралттай далд тавих 2 цэгээс удирдах унтраалга</x:v>
      </x:c>
      <x:c r="D755" s="52" t="str">
        <x:v>IP&gt;20 16А</x:v>
      </x:c>
      <x:c r="E755" s="52" t="str">
        <x:v>ш</x:v>
      </x:c>
      <x:c r="F755" s="53" t="n">
        <x:v>4</x:v>
      </x:c>
      <x:c r="G755" s="54" t="n">
        <x:v>11000</x:v>
      </x:c>
      <x:c r="H755" s="54" t="n">
        <x:v>44000</x:v>
      </x:c>
      <x:c r="I755" s="54" t="n">
        <x:f>IF(AND(ISNUMBER(F755),ISNUMBER(G755)),ROUND(F755*G755,0),H755)</x:f>
        <x:v>44000</x:v>
      </x:c>
      <x:c r="J755" s="54" t="n">
        <x:f>I755-H755</x:f>
        <x:v>0</x:v>
      </x:c>
      <x:c r="K755" s="51" t="str">
        <x:v>Багцын задаргаа</x:v>
      </x:c>
      <x:c r="L755" s="51" t="str">
        <x:f>IF(J755=0,"OK","Шалгах")</x:f>
        <x:v>OK</x:v>
      </x:c>
      <x:c r="M755" s="51" t="str">
        <x:v>Цахилгаан</x:v>
      </x:c>
      <x:c r="N755" s="51" t="n">
        <x:v>165</x:v>
      </x:c>
    </x:row>
    <x:row r="756">
      <x:c r="A756" s="51" t="str">
        <x:v>MAT-6R-0742</x:v>
      </x:c>
      <x:c r="B756" s="52" t="str">
        <x:v>ЦАХИЛГААН ГЭРЭЛТҮҮЛЭГЧ</x:v>
      </x:c>
      <x:c r="C756" s="52" t="str">
        <x:v>Унтраалга далд хайрцаг</x:v>
      </x:c>
      <x:c r="D756" s="52" t="str"/>
      <x:c r="E756" s="52" t="str">
        <x:v>ш</x:v>
      </x:c>
      <x:c r="F756" s="53" t="n">
        <x:v>1009</x:v>
      </x:c>
      <x:c r="G756" s="54" t="n">
        <x:v>3000</x:v>
      </x:c>
      <x:c r="H756" s="54" t="n">
        <x:v>3027000</x:v>
      </x:c>
      <x:c r="I756" s="54" t="n">
        <x:f>IF(AND(ISNUMBER(F756),ISNUMBER(G756)),ROUND(F756*G756,0),H756)</x:f>
        <x:v>3027000</x:v>
      </x:c>
      <x:c r="J756" s="54" t="n">
        <x:f>I756-H756</x:f>
        <x:v>0</x:v>
      </x:c>
      <x:c r="K756" s="51" t="str">
        <x:v>Багцын задаргаа</x:v>
      </x:c>
      <x:c r="L756" s="51" t="str">
        <x:f>IF(J756=0,"OK","Шалгах")</x:f>
        <x:v>OK</x:v>
      </x:c>
      <x:c r="M756" s="51" t="str">
        <x:v>Цахилгаан</x:v>
      </x:c>
      <x:c r="N756" s="51" t="n">
        <x:v>166</x:v>
      </x:c>
    </x:row>
    <x:row r="757">
      <x:c r="A757" s="51" t="str">
        <x:v>MAT-6R-0743</x:v>
      </x:c>
      <x:c r="B757" s="52" t="str">
        <x:v>ЦАХИЛГААН ГЭРЭЛТҮҮЛЭГЧ</x:v>
      </x:c>
      <x:c r="C757" s="52" t="str">
        <x:v>Розетка далд хайрцаг</x:v>
      </x:c>
      <x:c r="D757" s="52" t="str"/>
      <x:c r="E757" s="52" t="str">
        <x:v>ш</x:v>
      </x:c>
      <x:c r="F757" s="53" t="n">
        <x:v>2607</x:v>
      </x:c>
      <x:c r="G757" s="54" t="n">
        <x:v>1650</x:v>
      </x:c>
      <x:c r="H757" s="54" t="n">
        <x:v>4301550</x:v>
      </x:c>
      <x:c r="I757" s="54" t="n">
        <x:f>IF(AND(ISNUMBER(F757),ISNUMBER(G757)),ROUND(F757*G757,0),H757)</x:f>
        <x:v>4301550</x:v>
      </x:c>
      <x:c r="J757" s="54" t="n">
        <x:f>I757-H757</x:f>
        <x:v>0</x:v>
      </x:c>
      <x:c r="K757" s="51" t="str">
        <x:v>Багцын задаргаа</x:v>
      </x:c>
      <x:c r="L757" s="51" t="str">
        <x:f>IF(J757=0,"OK","Шалгах")</x:f>
        <x:v>OK</x:v>
      </x:c>
      <x:c r="M757" s="51" t="str">
        <x:v>Цахилгаан</x:v>
      </x:c>
      <x:c r="N757" s="51" t="n">
        <x:v>167</x:v>
      </x:c>
    </x:row>
    <x:row r="758">
      <x:c r="A758" s="51" t="str">
        <x:v>MAT-6R-0744</x:v>
      </x:c>
      <x:c r="B758" s="52" t="str">
        <x:v>ЦАХИЛГААН ГЭРЭЛТҮҮЛЭГЧ</x:v>
      </x:c>
      <x:c r="C758" s="52" t="str">
        <x:v>Утас далд салбарлах хайрцаг</x:v>
      </x:c>
      <x:c r="D758" s="52" t="str">
        <x:v>100х100х54</x:v>
      </x:c>
      <x:c r="E758" s="52" t="str">
        <x:v>ш</x:v>
      </x:c>
      <x:c r="F758" s="53" t="n">
        <x:v>1137</x:v>
      </x:c>
      <x:c r="G758" s="54" t="n">
        <x:v>4500</x:v>
      </x:c>
      <x:c r="H758" s="54" t="n">
        <x:v>5116500</x:v>
      </x:c>
      <x:c r="I758" s="54" t="n">
        <x:f>IF(AND(ISNUMBER(F758),ISNUMBER(G758)),ROUND(F758*G758,0),H758)</x:f>
        <x:v>5116500</x:v>
      </x:c>
      <x:c r="J758" s="54" t="n">
        <x:f>I758-H758</x:f>
        <x:v>0</x:v>
      </x:c>
      <x:c r="K758" s="51" t="str">
        <x:v>Багцын задаргаа</x:v>
      </x:c>
      <x:c r="L758" s="51" t="str">
        <x:f>IF(J758=0,"OK","Шалгах")</x:f>
        <x:v>OK</x:v>
      </x:c>
      <x:c r="M758" s="51" t="str">
        <x:v>Цахилгаан</x:v>
      </x:c>
      <x:c r="N758" s="51" t="n">
        <x:v>168</x:v>
      </x:c>
    </x:row>
    <x:row r="759">
      <x:c r="A759" s="51" t="str">
        <x:v>MAT-6R-0745</x:v>
      </x:c>
      <x:c r="B759" s="52" t="str">
        <x:v>ЦАХИЛГААН ГЭРЭЛТҮҮЛЭГЧ</x:v>
      </x:c>
      <x:c r="C759" s="52" t="str">
        <x:v>Цахилгааны лент</x:v>
      </x:c>
      <x:c r="D759" s="52" t="str"/>
      <x:c r="E759" s="52" t="str"/>
      <x:c r="F759" s="53"/>
      <x:c r="G759" s="54" t="n">
        <x:v>2500</x:v>
      </x:c>
      <x:c r="H759" s="54" t="n">
        <x:v>0</x:v>
      </x:c>
      <x:c r="I759" s="54" t="n">
        <x:f>IF(AND(ISNUMBER(F759),ISNUMBER(G759)),ROUND(F759*G759,0),H759)</x:f>
        <x:v>0</x:v>
      </x:c>
      <x:c r="J759" s="54" t="n">
        <x:f>I759-H759</x:f>
        <x:v>0</x:v>
      </x:c>
      <x:c r="K759" s="51" t="str">
        <x:v>Багцын задаргаа</x:v>
      </x:c>
      <x:c r="L759" s="51" t="str">
        <x:f>IF(J759=0,"OK","Шалгах")</x:f>
        <x:v>OK</x:v>
      </x:c>
      <x:c r="M759" s="51" t="str">
        <x:v>Цахилгаан</x:v>
      </x:c>
      <x:c r="N759" s="51" t="n">
        <x:v>169</x:v>
      </x:c>
    </x:row>
    <x:row r="760">
      <x:c r="A760" s="51" t="str">
        <x:v>MAT-6R-0746</x:v>
      </x:c>
      <x:c r="B760" s="52" t="str">
        <x:v>КАБЕЛЬ, ШУГАМ ХООЛОЙ</x:v>
      </x:c>
      <x:c r="C760" s="52" t="str">
        <x:v>Зэс дамжуулагтай поливинилхлорид тусгаарлагчтай, давхар бүрээстэй, гал дэмжидэггүй кабель шугам</x:v>
      </x:c>
      <x:c r="D760" s="52" t="str">
        <x:v>ВВГнг-5х70.0 мм2</x:v>
      </x:c>
      <x:c r="E760" s="52" t="str">
        <x:v>м</x:v>
      </x:c>
      <x:c r="F760" s="53" t="n">
        <x:v>20</x:v>
      </x:c>
      <x:c r="G760" s="54" t="n">
        <x:v>187000</x:v>
      </x:c>
      <x:c r="H760" s="54" t="n">
        <x:v>3740000</x:v>
      </x:c>
      <x:c r="I760" s="54" t="n">
        <x:f>IF(AND(ISNUMBER(F760),ISNUMBER(G760)),ROUND(F760*G760,0),H760)</x:f>
        <x:v>3740000</x:v>
      </x:c>
      <x:c r="J760" s="54" t="n">
        <x:f>I760-H760</x:f>
        <x:v>0</x:v>
      </x:c>
      <x:c r="K760" s="51" t="str">
        <x:v>Багцын задаргаа</x:v>
      </x:c>
      <x:c r="L760" s="51" t="str">
        <x:f>IF(J760=0,"OK","Шалгах")</x:f>
        <x:v>OK</x:v>
      </x:c>
      <x:c r="M760" s="51" t="str">
        <x:v>Цахилгаан</x:v>
      </x:c>
      <x:c r="N760" s="51" t="n">
        <x:v>171</x:v>
      </x:c>
    </x:row>
    <x:row r="761">
      <x:c r="A761" s="51" t="str">
        <x:v>MAT-6R-0747</x:v>
      </x:c>
      <x:c r="B761" s="52" t="str">
        <x:v>КАБЕЛЬ, ШУГАМ ХООЛОЙ</x:v>
      </x:c>
      <x:c r="C761" s="52" t="str">
        <x:v>Зэс дамжуулагтай поливинилхлорид тусгаарлагчтай, давхар бүрээстэй, гал дэмжидэггүй кабель шугам</x:v>
      </x:c>
      <x:c r="D761" s="52" t="str">
        <x:v>ВВГнг-5х50.0 мм2</x:v>
      </x:c>
      <x:c r="E761" s="52" t="str">
        <x:v>м</x:v>
      </x:c>
      <x:c r="F761" s="53"/>
      <x:c r="G761" s="54" t="n">
        <x:v>132000</x:v>
      </x:c>
      <x:c r="H761" s="54" t="n">
        <x:v>0</x:v>
      </x:c>
      <x:c r="I761" s="54" t="n">
        <x:f>IF(AND(ISNUMBER(F761),ISNUMBER(G761)),ROUND(F761*G761,0),H761)</x:f>
        <x:v>0</x:v>
      </x:c>
      <x:c r="J761" s="54" t="n">
        <x:f>I761-H761</x:f>
        <x:v>0</x:v>
      </x:c>
      <x:c r="K761" s="51" t="str">
        <x:v>Багцын задаргаа</x:v>
      </x:c>
      <x:c r="L761" s="51" t="str">
        <x:f>IF(J761=0,"OK","Шалгах")</x:f>
        <x:v>OK</x:v>
      </x:c>
      <x:c r="M761" s="51" t="str">
        <x:v>Цахилгаан</x:v>
      </x:c>
      <x:c r="N761" s="51" t="n">
        <x:v>172</x:v>
      </x:c>
    </x:row>
    <x:row r="762">
      <x:c r="A762" s="51" t="str">
        <x:v>MAT-6R-0748</x:v>
      </x:c>
      <x:c r="B762" s="52" t="str">
        <x:v>КАБЕЛЬ, ШУГАМ ХООЛОЙ</x:v>
      </x:c>
      <x:c r="C762" s="52" t="str">
        <x:v>Зэс дамжуулагтай поливинилхлорид тусгаарлагчтай, давхар бүрээстэй, гал дэмжидэггүй кабель шугам</x:v>
      </x:c>
      <x:c r="D762" s="52" t="str">
        <x:v>ВВГнг-5х35.0 мм2</x:v>
      </x:c>
      <x:c r="E762" s="52" t="str">
        <x:v>м</x:v>
      </x:c>
      <x:c r="F762" s="53" t="n">
        <x:v>450</x:v>
      </x:c>
      <x:c r="G762" s="54" t="n">
        <x:v>93000</x:v>
      </x:c>
      <x:c r="H762" s="54" t="n">
        <x:v>41850000</x:v>
      </x:c>
      <x:c r="I762" s="54" t="n">
        <x:f>IF(AND(ISNUMBER(F762),ISNUMBER(G762)),ROUND(F762*G762,0),H762)</x:f>
        <x:v>41850000</x:v>
      </x:c>
      <x:c r="J762" s="54" t="n">
        <x:f>I762-H762</x:f>
        <x:v>0</x:v>
      </x:c>
      <x:c r="K762" s="51" t="str">
        <x:v>Багцын задаргаа</x:v>
      </x:c>
      <x:c r="L762" s="51" t="str">
        <x:f>IF(J762=0,"OK","Шалгах")</x:f>
        <x:v>OK</x:v>
      </x:c>
      <x:c r="M762" s="51" t="str">
        <x:v>Цахилгаан</x:v>
      </x:c>
      <x:c r="N762" s="51" t="n">
        <x:v>173</x:v>
      </x:c>
    </x:row>
    <x:row r="763">
      <x:c r="A763" s="51" t="str">
        <x:v>MAT-6R-0749</x:v>
      </x:c>
      <x:c r="B763" s="52" t="str">
        <x:v>КАБЕЛЬ, ШУГАМ ХООЛОЙ</x:v>
      </x:c>
      <x:c r="C763" s="52" t="str">
        <x:v>Зэс дамжуулагтай поливинилхлорид тусгаарлагчтай, давхар бүрээстэй, гал дэмжидэггүй кабель шугам</x:v>
      </x:c>
      <x:c r="D763" s="52" t="str">
        <x:v>ВВГнг-5х6.0 мм2</x:v>
      </x:c>
      <x:c r="E763" s="52" t="str">
        <x:v>м</x:v>
      </x:c>
      <x:c r="F763" s="53" t="n">
        <x:v>60</x:v>
      </x:c>
      <x:c r="G763" s="54" t="n">
        <x:v>72000</x:v>
      </x:c>
      <x:c r="H763" s="54" t="n">
        <x:v>4320000</x:v>
      </x:c>
      <x:c r="I763" s="54" t="n">
        <x:f>IF(AND(ISNUMBER(F763),ISNUMBER(G763)),ROUND(F763*G763,0),H763)</x:f>
        <x:v>4320000</x:v>
      </x:c>
      <x:c r="J763" s="54" t="n">
        <x:f>I763-H763</x:f>
        <x:v>0</x:v>
      </x:c>
      <x:c r="K763" s="51" t="str">
        <x:v>Багцын задаргаа</x:v>
      </x:c>
      <x:c r="L763" s="51" t="str">
        <x:f>IF(J763=0,"OK","Шалгах")</x:f>
        <x:v>OK</x:v>
      </x:c>
      <x:c r="M763" s="51" t="str">
        <x:v>Цахилгаан</x:v>
      </x:c>
      <x:c r="N763" s="51" t="n">
        <x:v>174</x:v>
      </x:c>
    </x:row>
    <x:row r="764">
      <x:c r="A764" s="51" t="str">
        <x:v>MAT-6R-0750</x:v>
      </x:c>
      <x:c r="B764" s="52" t="str">
        <x:v>КАБЕЛЬ, ШУГАМ ХООЛОЙ</x:v>
      </x:c>
      <x:c r="C764" s="52" t="str">
        <x:v>Зэс дамжуулагтай поливинилхлорид тусгаарлагчтай, давхар бүрээстэй, гал дэмжидэггүй кабель шугам</x:v>
      </x:c>
      <x:c r="D764" s="52" t="str">
        <x:v>ВВГнг-5х16.0 мм2</x:v>
      </x:c>
      <x:c r="E764" s="52" t="str">
        <x:v>м</x:v>
      </x:c>
      <x:c r="F764" s="53" t="n">
        <x:v>500</x:v>
      </x:c>
      <x:c r="G764" s="54" t="n">
        <x:v>51000</x:v>
      </x:c>
      <x:c r="H764" s="54" t="n">
        <x:v>25500000</x:v>
      </x:c>
      <x:c r="I764" s="54" t="n">
        <x:f>IF(AND(ISNUMBER(F764),ISNUMBER(G764)),ROUND(F764*G764,0),H764)</x:f>
        <x:v>25500000</x:v>
      </x:c>
      <x:c r="J764" s="54" t="n">
        <x:f>I764-H764</x:f>
        <x:v>0</x:v>
      </x:c>
      <x:c r="K764" s="51" t="str">
        <x:v>Багцын задаргаа</x:v>
      </x:c>
      <x:c r="L764" s="51" t="str">
        <x:f>IF(J764=0,"OK","Шалгах")</x:f>
        <x:v>OK</x:v>
      </x:c>
      <x:c r="M764" s="51" t="str">
        <x:v>Цахилгаан</x:v>
      </x:c>
      <x:c r="N764" s="51" t="n">
        <x:v>175</x:v>
      </x:c>
    </x:row>
    <x:row r="765">
      <x:c r="A765" s="51" t="str">
        <x:v>MAT-6R-0751</x:v>
      </x:c>
      <x:c r="B765" s="52" t="str">
        <x:v>КАБЕЛЬ, ШУГАМ ХООЛОЙ</x:v>
      </x:c>
      <x:c r="C765" s="52" t="str">
        <x:v>Зэс дамжуулагтай поливинилхлорид тусгаарлагчтай, давхар бүрээстэй, гал дэмжидэггүй кабель шугам</x:v>
      </x:c>
      <x:c r="D765" s="52" t="str">
        <x:v>ВВГнг-5х10.0 мм2</x:v>
      </x:c>
      <x:c r="E765" s="52" t="str">
        <x:v>м</x:v>
      </x:c>
      <x:c r="F765" s="53" t="n">
        <x:v>70</x:v>
      </x:c>
      <x:c r="G765" s="54"/>
      <x:c r="H765" s="54" t="n">
        <x:v>0</x:v>
      </x:c>
      <x:c r="I765" s="54" t="n">
        <x:f>IF(AND(ISNUMBER(F765),ISNUMBER(G765)),ROUND(F765*G765,0),H765)</x:f>
        <x:v>0</x:v>
      </x:c>
      <x:c r="J765" s="54" t="n">
        <x:f>I765-H765</x:f>
        <x:v>0</x:v>
      </x:c>
      <x:c r="K765" s="51" t="str">
        <x:v>Багцын задаргаа</x:v>
      </x:c>
      <x:c r="L765" s="51" t="str">
        <x:f>IF(J765=0,"OK","Шалгах")</x:f>
        <x:v>OK</x:v>
      </x:c>
      <x:c r="M765" s="51" t="str">
        <x:v>Цахилгаан</x:v>
      </x:c>
      <x:c r="N765" s="51" t="n">
        <x:v>176</x:v>
      </x:c>
    </x:row>
    <x:row r="766">
      <x:c r="A766" s="51" t="str">
        <x:v>MAT-6R-0752</x:v>
      </x:c>
      <x:c r="B766" s="52" t="str">
        <x:v>КАБЕЛЬ, ШУГАМ ХООЛОЙ</x:v>
      </x:c>
      <x:c r="C766" s="52" t="str">
        <x:v>Зэс дамжуулагтай поливинилхлорид тусгаарлагчтай, дан бүрээстэй, нэг судастай кабель</x:v>
      </x:c>
      <x:c r="D766" s="52" t="str">
        <x:v>ПВ-5х70.0 мм2</x:v>
      </x:c>
      <x:c r="E766" s="52" t="str">
        <x:v>м</x:v>
      </x:c>
      <x:c r="F766" s="53"/>
      <x:c r="G766" s="54" t="n">
        <x:v>36000</x:v>
      </x:c>
      <x:c r="H766" s="54" t="n">
        <x:v>0</x:v>
      </x:c>
      <x:c r="I766" s="54" t="n">
        <x:f>IF(AND(ISNUMBER(F766),ISNUMBER(G766)),ROUND(F766*G766,0),H766)</x:f>
        <x:v>0</x:v>
      </x:c>
      <x:c r="J766" s="54" t="n">
        <x:f>I766-H766</x:f>
        <x:v>0</x:v>
      </x:c>
      <x:c r="K766" s="51" t="str">
        <x:v>Багцын задаргаа</x:v>
      </x:c>
      <x:c r="L766" s="51" t="str">
        <x:f>IF(J766=0,"OK","Шалгах")</x:f>
        <x:v>OK</x:v>
      </x:c>
      <x:c r="M766" s="51" t="str">
        <x:v>Цахилгаан</x:v>
      </x:c>
      <x:c r="N766" s="51" t="n">
        <x:v>177</x:v>
      </x:c>
    </x:row>
    <x:row r="767">
      <x:c r="A767" s="51" t="str">
        <x:v>MAT-6R-0753</x:v>
      </x:c>
      <x:c r="B767" s="52" t="str">
        <x:v>КАБЕЛЬ, ШУГАМ ХООЛОЙ</x:v>
      </x:c>
      <x:c r="C767" s="52" t="str">
        <x:v>Зэс дамжуулагтай поливинилхлорид тусгаарлагчтай, дан бүрээстэй, нэг судастай кабель</x:v>
      </x:c>
      <x:c r="D767" s="52" t="str">
        <x:v>ПВ-50.0 мм2</x:v>
      </x:c>
      <x:c r="E767" s="52" t="str">
        <x:v>м</x:v>
      </x:c>
      <x:c r="F767" s="53"/>
      <x:c r="G767" s="54" t="n">
        <x:v>23300</x:v>
      </x:c>
      <x:c r="H767" s="54" t="n">
        <x:v>0</x:v>
      </x:c>
      <x:c r="I767" s="54" t="n">
        <x:f>IF(AND(ISNUMBER(F767),ISNUMBER(G767)),ROUND(F767*G767,0),H767)</x:f>
        <x:v>0</x:v>
      </x:c>
      <x:c r="J767" s="54" t="n">
        <x:f>I767-H767</x:f>
        <x:v>0</x:v>
      </x:c>
      <x:c r="K767" s="51" t="str">
        <x:v>Багцын задаргаа</x:v>
      </x:c>
      <x:c r="L767" s="51" t="str">
        <x:f>IF(J767=0,"OK","Шалгах")</x:f>
        <x:v>OK</x:v>
      </x:c>
      <x:c r="M767" s="51" t="str">
        <x:v>Цахилгаан</x:v>
      </x:c>
      <x:c r="N767" s="51" t="n">
        <x:v>178</x:v>
      </x:c>
    </x:row>
    <x:row r="768">
      <x:c r="A768" s="51" t="str">
        <x:v>MAT-6R-0754</x:v>
      </x:c>
      <x:c r="B768" s="52" t="str">
        <x:v>КАБЕЛЬ, ШУГАМ ХООЛОЙ</x:v>
      </x:c>
      <x:c r="C768" s="52" t="str">
        <x:v>Зэс дамжуулагтай поливинилхлорид тусгаарлагчтай, дан бүрээстэй, нэг судастай кабель</x:v>
      </x:c>
      <x:c r="D768" s="52" t="str">
        <x:v>ПВ-25.0 мм2</x:v>
      </x:c>
      <x:c r="E768" s="52" t="str">
        <x:v>м</x:v>
      </x:c>
      <x:c r="F768" s="53"/>
      <x:c r="G768" s="54" t="n">
        <x:v>12200</x:v>
      </x:c>
      <x:c r="H768" s="54" t="n">
        <x:v>0</x:v>
      </x:c>
      <x:c r="I768" s="54" t="n">
        <x:f>IF(AND(ISNUMBER(F768),ISNUMBER(G768)),ROUND(F768*G768,0),H768)</x:f>
        <x:v>0</x:v>
      </x:c>
      <x:c r="J768" s="54" t="n">
        <x:f>I768-H768</x:f>
        <x:v>0</x:v>
      </x:c>
      <x:c r="K768" s="51" t="str">
        <x:v>Багцын задаргаа</x:v>
      </x:c>
      <x:c r="L768" s="51" t="str">
        <x:f>IF(J768=0,"OK","Шалгах")</x:f>
        <x:v>OK</x:v>
      </x:c>
      <x:c r="M768" s="51" t="str">
        <x:v>Цахилгаан</x:v>
      </x:c>
      <x:c r="N768" s="51" t="n">
        <x:v>179</x:v>
      </x:c>
    </x:row>
    <x:row r="769">
      <x:c r="A769" s="51" t="str">
        <x:v>MAT-6R-0755</x:v>
      </x:c>
      <x:c r="B769" s="52" t="str">
        <x:v>КАБЕЛЬ, ШУГАМ ХООЛОЙ</x:v>
      </x:c>
      <x:c r="C769" s="52" t="str">
        <x:v>Зэс дамжуулагтай поливинилхлорид тусгаарлагчтай, дан бүрээстэй, нэг судастай кабель</x:v>
      </x:c>
      <x:c r="D769" s="52" t="str">
        <x:v>ПВ-16.0 мм2</x:v>
      </x:c>
      <x:c r="E769" s="52" t="str">
        <x:v>м</x:v>
      </x:c>
      <x:c r="F769" s="53"/>
      <x:c r="G769" s="54" t="n">
        <x:v>7800</x:v>
      </x:c>
      <x:c r="H769" s="54" t="n">
        <x:v>0</x:v>
      </x:c>
      <x:c r="I769" s="54" t="n">
        <x:f>IF(AND(ISNUMBER(F769),ISNUMBER(G769)),ROUND(F769*G769,0),H769)</x:f>
        <x:v>0</x:v>
      </x:c>
      <x:c r="J769" s="54" t="n">
        <x:f>I769-H769</x:f>
        <x:v>0</x:v>
      </x:c>
      <x:c r="K769" s="51" t="str">
        <x:v>Багцын задаргаа</x:v>
      </x:c>
      <x:c r="L769" s="51" t="str">
        <x:f>IF(J769=0,"OK","Шалгах")</x:f>
        <x:v>OK</x:v>
      </x:c>
      <x:c r="M769" s="51" t="str">
        <x:v>Цахилгаан</x:v>
      </x:c>
      <x:c r="N769" s="51" t="n">
        <x:v>180</x:v>
      </x:c>
    </x:row>
    <x:row r="770">
      <x:c r="A770" s="51" t="str">
        <x:v>MAT-6R-0756</x:v>
      </x:c>
      <x:c r="B770" s="52" t="str">
        <x:v>КАБЕЛЬ, ШУГАМ ХООЛОЙ</x:v>
      </x:c>
      <x:c r="C770" s="52" t="str">
        <x:v>Зэс дамжуулагтай поливинилхлорид тусгаарлагчтай, дан бүрээстэй, нэг судастай кабель</x:v>
      </x:c>
      <x:c r="D770" s="52" t="str">
        <x:v>ПВ-10.0 мм2</x:v>
      </x:c>
      <x:c r="E770" s="52" t="str">
        <x:v>м</x:v>
      </x:c>
      <x:c r="F770" s="53" t="n">
        <x:v>5700</x:v>
      </x:c>
      <x:c r="G770" s="54" t="n">
        <x:v>4900</x:v>
      </x:c>
      <x:c r="H770" s="54" t="n">
        <x:v>27930000</x:v>
      </x:c>
      <x:c r="I770" s="54" t="n">
        <x:f>IF(AND(ISNUMBER(F770),ISNUMBER(G770)),ROUND(F770*G770,0),H770)</x:f>
        <x:v>27930000</x:v>
      </x:c>
      <x:c r="J770" s="54" t="n">
        <x:f>I770-H770</x:f>
        <x:v>0</x:v>
      </x:c>
      <x:c r="K770" s="51" t="str">
        <x:v>Багцын задаргаа</x:v>
      </x:c>
      <x:c r="L770" s="51" t="str">
        <x:f>IF(J770=0,"OK","Шалгах")</x:f>
        <x:v>OK</x:v>
      </x:c>
      <x:c r="M770" s="51" t="str">
        <x:v>Цахилгаан</x:v>
      </x:c>
      <x:c r="N770" s="51" t="n">
        <x:v>181</x:v>
      </x:c>
    </x:row>
    <x:row r="771">
      <x:c r="A771" s="51" t="str">
        <x:v>MAT-6R-0757</x:v>
      </x:c>
      <x:c r="B771" s="52" t="str">
        <x:v>КАБЕЛЬ, ШУГАМ ХООЛОЙ</x:v>
      </x:c>
      <x:c r="C771" s="52" t="str">
        <x:v>Зэс дамжуулагтай поливинилхлорид тусгаарлагчтай, дан бүрээстэй, нэг судастай кабель</x:v>
      </x:c>
      <x:c r="D771" s="52" t="str">
        <x:v>ПВ-6.0 мм2</x:v>
      </x:c>
      <x:c r="E771" s="52" t="str">
        <x:v>м</x:v>
      </x:c>
      <x:c r="F771" s="53" t="n">
        <x:v>5100</x:v>
      </x:c>
      <x:c r="G771" s="54" t="n">
        <x:v>2800</x:v>
      </x:c>
      <x:c r="H771" s="54" t="n">
        <x:v>14280000</x:v>
      </x:c>
      <x:c r="I771" s="54" t="n">
        <x:f>IF(AND(ISNUMBER(F771),ISNUMBER(G771)),ROUND(F771*G771,0),H771)</x:f>
        <x:v>14280000</x:v>
      </x:c>
      <x:c r="J771" s="54" t="n">
        <x:f>I771-H771</x:f>
        <x:v>0</x:v>
      </x:c>
      <x:c r="K771" s="51" t="str">
        <x:v>Багцын задаргаа</x:v>
      </x:c>
      <x:c r="L771" s="51" t="str">
        <x:f>IF(J771=0,"OK","Шалгах")</x:f>
        <x:v>OK</x:v>
      </x:c>
      <x:c r="M771" s="51" t="str">
        <x:v>Цахилгаан</x:v>
      </x:c>
      <x:c r="N771" s="51" t="n">
        <x:v>182</x:v>
      </x:c>
    </x:row>
    <x:row r="772">
      <x:c r="A772" s="51" t="str">
        <x:v>MAT-6R-0758</x:v>
      </x:c>
      <x:c r="B772" s="52" t="str">
        <x:v>КАБЕЛЬ, ШУГАМ ХООЛОЙ</x:v>
      </x:c>
      <x:c r="C772" s="52" t="str">
        <x:v>Зэс дамжуулагтай поливинилхлорид тусгаарлагчтай, дан бүрээстэй, нэг судастай кабель</x:v>
      </x:c>
      <x:c r="D772" s="52" t="str">
        <x:v>ПВ-4.0 мм2</x:v>
      </x:c>
      <x:c r="E772" s="52" t="str">
        <x:v>м</x:v>
      </x:c>
      <x:c r="F772" s="53" t="n">
        <x:v>8300</x:v>
      </x:c>
      <x:c r="G772" s="54" t="n">
        <x:v>1900</x:v>
      </x:c>
      <x:c r="H772" s="54" t="n">
        <x:v>15770000</x:v>
      </x:c>
      <x:c r="I772" s="54" t="n">
        <x:f>IF(AND(ISNUMBER(F772),ISNUMBER(G772)),ROUND(F772*G772,0),H772)</x:f>
        <x:v>15770000</x:v>
      </x:c>
      <x:c r="J772" s="54" t="n">
        <x:f>I772-H772</x:f>
        <x:v>0</x:v>
      </x:c>
      <x:c r="K772" s="51" t="str">
        <x:v>Багцын задаргаа</x:v>
      </x:c>
      <x:c r="L772" s="51" t="str">
        <x:f>IF(J772=0,"OK","Шалгах")</x:f>
        <x:v>OK</x:v>
      </x:c>
      <x:c r="M772" s="51" t="str">
        <x:v>Цахилгаан</x:v>
      </x:c>
      <x:c r="N772" s="51" t="n">
        <x:v>183</x:v>
      </x:c>
    </x:row>
    <x:row r="773">
      <x:c r="A773" s="51" t="str">
        <x:v>MAT-6R-0759</x:v>
      </x:c>
      <x:c r="B773" s="52" t="str">
        <x:v>КАБЕЛЬ, ШУГАМ ХООЛОЙ</x:v>
      </x:c>
      <x:c r="C773" s="52" t="str">
        <x:v>Зэс дамжуулагтай поливинилхлорид тусгаарлагчтай, дан бүрээстэй, нэг судастай кабель</x:v>
      </x:c>
      <x:c r="D773" s="52" t="str">
        <x:v>ПВ-2.5.0 мм2</x:v>
      </x:c>
      <x:c r="E773" s="52" t="str">
        <x:v>м</x:v>
      </x:c>
      <x:c r="F773" s="53" t="n">
        <x:v>57000</x:v>
      </x:c>
      <x:c r="G773" s="54" t="n">
        <x:v>1250</x:v>
      </x:c>
      <x:c r="H773" s="54" t="n">
        <x:v>71250000</x:v>
      </x:c>
      <x:c r="I773" s="54" t="n">
        <x:f>IF(AND(ISNUMBER(F773),ISNUMBER(G773)),ROUND(F773*G773,0),H773)</x:f>
        <x:v>71250000</x:v>
      </x:c>
      <x:c r="J773" s="54" t="n">
        <x:f>I773-H773</x:f>
        <x:v>0</x:v>
      </x:c>
      <x:c r="K773" s="51" t="str">
        <x:v>Багцын задаргаа</x:v>
      </x:c>
      <x:c r="L773" s="51" t="str">
        <x:f>IF(J773=0,"OK","Шалгах")</x:f>
        <x:v>OK</x:v>
      </x:c>
      <x:c r="M773" s="51" t="str">
        <x:v>Цахилгаан</x:v>
      </x:c>
      <x:c r="N773" s="51" t="n">
        <x:v>184</x:v>
      </x:c>
    </x:row>
    <x:row r="774">
      <x:c r="A774" s="51" t="str">
        <x:v>MAT-6R-0760</x:v>
      </x:c>
      <x:c r="B774" s="52" t="str">
        <x:v>КАБЕЛЬ, ШУГАМ ХООЛОЙ</x:v>
      </x:c>
      <x:c r="C774" s="52" t="str">
        <x:v>Кабелийн зэсэн төгсгөвч</x:v>
      </x:c>
      <x:c r="D774" s="52" t="str">
        <x:v>Ф70</x:v>
      </x:c>
      <x:c r="E774" s="52" t="str">
        <x:v>ш</x:v>
      </x:c>
      <x:c r="F774" s="53" t="n">
        <x:v>20</x:v>
      </x:c>
      <x:c r="G774" s="54" t="n">
        <x:v>2835</x:v>
      </x:c>
      <x:c r="H774" s="54" t="n">
        <x:v>56700</x:v>
      </x:c>
      <x:c r="I774" s="54" t="n">
        <x:f>IF(AND(ISNUMBER(F774),ISNUMBER(G774)),ROUND(F774*G774,0),H774)</x:f>
        <x:v>56700</x:v>
      </x:c>
      <x:c r="J774" s="54" t="n">
        <x:f>I774-H774</x:f>
        <x:v>0</x:v>
      </x:c>
      <x:c r="K774" s="51" t="str">
        <x:v>Багцын задаргаа</x:v>
      </x:c>
      <x:c r="L774" s="51" t="str">
        <x:f>IF(J774=0,"OK","Шалгах")</x:f>
        <x:v>OK</x:v>
      </x:c>
      <x:c r="M774" s="51" t="str">
        <x:v>Цахилгаан</x:v>
      </x:c>
      <x:c r="N774" s="51" t="n">
        <x:v>185</x:v>
      </x:c>
    </x:row>
    <x:row r="775">
      <x:c r="A775" s="51" t="str">
        <x:v>MAT-6R-0761</x:v>
      </x:c>
      <x:c r="B775" s="52" t="str">
        <x:v>КАБЕЛЬ, ШУГАМ ХООЛОЙ</x:v>
      </x:c>
      <x:c r="C775" s="52" t="str">
        <x:v>Кабелийн зэсэн төгсгөвч</x:v>
      </x:c>
      <x:c r="D775" s="52" t="str">
        <x:v>Ф50</x:v>
      </x:c>
      <x:c r="E775" s="52" t="str">
        <x:v>ш</x:v>
      </x:c>
      <x:c r="F775" s="53"/>
      <x:c r="G775" s="54"/>
      <x:c r="H775" s="54" t="n">
        <x:v>0</x:v>
      </x:c>
      <x:c r="I775" s="54" t="n">
        <x:f>IF(AND(ISNUMBER(F775),ISNUMBER(G775)),ROUND(F775*G775,0),H775)</x:f>
        <x:v>0</x:v>
      </x:c>
      <x:c r="J775" s="54" t="n">
        <x:f>I775-H775</x:f>
        <x:v>0</x:v>
      </x:c>
      <x:c r="K775" s="51" t="str">
        <x:v>Багцын задаргаа</x:v>
      </x:c>
      <x:c r="L775" s="51" t="str">
        <x:f>IF(J775=0,"OK","Шалгах")</x:f>
        <x:v>OK</x:v>
      </x:c>
      <x:c r="M775" s="51" t="str">
        <x:v>Цахилгаан</x:v>
      </x:c>
      <x:c r="N775" s="51" t="n">
        <x:v>186</x:v>
      </x:c>
    </x:row>
    <x:row r="776">
      <x:c r="A776" s="51" t="str">
        <x:v>MAT-6R-0762</x:v>
      </x:c>
      <x:c r="B776" s="52" t="str">
        <x:v>КАБЕЛЬ, ШУГАМ ХООЛОЙ</x:v>
      </x:c>
      <x:c r="C776" s="52" t="str">
        <x:v>Кабелийн зэсэн төгсгөвч</x:v>
      </x:c>
      <x:c r="D776" s="52" t="str">
        <x:v>Ф35</x:v>
      </x:c>
      <x:c r="E776" s="52" t="str">
        <x:v>ш</x:v>
      </x:c>
      <x:c r="F776" s="53" t="n">
        <x:v>200</x:v>
      </x:c>
      <x:c r="G776" s="54" t="n">
        <x:v>1620</x:v>
      </x:c>
      <x:c r="H776" s="54" t="n">
        <x:v>324000</x:v>
      </x:c>
      <x:c r="I776" s="54" t="n">
        <x:f>IF(AND(ISNUMBER(F776),ISNUMBER(G776)),ROUND(F776*G776,0),H776)</x:f>
        <x:v>324000</x:v>
      </x:c>
      <x:c r="J776" s="54" t="n">
        <x:f>I776-H776</x:f>
        <x:v>0</x:v>
      </x:c>
      <x:c r="K776" s="51" t="str">
        <x:v>Багцын задаргаа</x:v>
      </x:c>
      <x:c r="L776" s="51" t="str">
        <x:f>IF(J776=0,"OK","Шалгах")</x:f>
        <x:v>OK</x:v>
      </x:c>
      <x:c r="M776" s="51" t="str">
        <x:v>Цахилгаан</x:v>
      </x:c>
      <x:c r="N776" s="51" t="n">
        <x:v>187</x:v>
      </x:c>
    </x:row>
    <x:row r="777">
      <x:c r="A777" s="51" t="str">
        <x:v>MAT-6R-0763</x:v>
      </x:c>
      <x:c r="B777" s="52" t="str">
        <x:v>КАБЕЛЬ, ШУГАМ ХООЛОЙ</x:v>
      </x:c>
      <x:c r="C777" s="52" t="str">
        <x:v>Кабелийн зэсэн төгсгөвч</x:v>
      </x:c>
      <x:c r="D777" s="52" t="str">
        <x:v>Ф25</x:v>
      </x:c>
      <x:c r="E777" s="52" t="str">
        <x:v>ш</x:v>
      </x:c>
      <x:c r="F777" s="53"/>
      <x:c r="G777" s="54"/>
      <x:c r="H777" s="54" t="n">
        <x:v>0</x:v>
      </x:c>
      <x:c r="I777" s="54" t="n">
        <x:f>IF(AND(ISNUMBER(F777),ISNUMBER(G777)),ROUND(F777*G777,0),H777)</x:f>
        <x:v>0</x:v>
      </x:c>
      <x:c r="J777" s="54" t="n">
        <x:f>I777-H777</x:f>
        <x:v>0</x:v>
      </x:c>
      <x:c r="K777" s="51" t="str">
        <x:v>Багцын задаргаа</x:v>
      </x:c>
      <x:c r="L777" s="51" t="str">
        <x:f>IF(J777=0,"OK","Шалгах")</x:f>
        <x:v>OK</x:v>
      </x:c>
      <x:c r="M777" s="51" t="str">
        <x:v>Цахилгаан</x:v>
      </x:c>
      <x:c r="N777" s="51" t="n">
        <x:v>188</x:v>
      </x:c>
    </x:row>
    <x:row r="778">
      <x:c r="A778" s="51" t="str">
        <x:v>MAT-6R-0764</x:v>
      </x:c>
      <x:c r="B778" s="52" t="str">
        <x:v>КАБЕЛЬ, ШУГАМ ХООЛОЙ</x:v>
      </x:c>
      <x:c r="C778" s="52" t="str">
        <x:v>Кабелийн зэсэн төгсгөвч</x:v>
      </x:c>
      <x:c r="D778" s="52" t="str">
        <x:v>Ф16</x:v>
      </x:c>
      <x:c r="E778" s="52" t="str">
        <x:v>ш</x:v>
      </x:c>
      <x:c r="F778" s="53" t="n">
        <x:v>70</x:v>
      </x:c>
      <x:c r="G778" s="54" t="n">
        <x:v>1035</x:v>
      </x:c>
      <x:c r="H778" s="54" t="n">
        <x:v>72450</x:v>
      </x:c>
      <x:c r="I778" s="54" t="n">
        <x:f>IF(AND(ISNUMBER(F778),ISNUMBER(G778)),ROUND(F778*G778,0),H778)</x:f>
        <x:v>72450</x:v>
      </x:c>
      <x:c r="J778" s="54" t="n">
        <x:f>I778-H778</x:f>
        <x:v>0</x:v>
      </x:c>
      <x:c r="K778" s="51" t="str">
        <x:v>Багцын задаргаа</x:v>
      </x:c>
      <x:c r="L778" s="51" t="str">
        <x:f>IF(J778=0,"OK","Шалгах")</x:f>
        <x:v>OK</x:v>
      </x:c>
      <x:c r="M778" s="51" t="str">
        <x:v>Цахилгаан</x:v>
      </x:c>
      <x:c r="N778" s="51" t="n">
        <x:v>189</x:v>
      </x:c>
    </x:row>
    <x:row r="779">
      <x:c r="A779" s="51" t="str">
        <x:v>MAT-6R-0765</x:v>
      </x:c>
      <x:c r="B779" s="52" t="str">
        <x:v>КАБЕЛЬ, ШУГАМ ХООЛОЙ</x:v>
      </x:c>
      <x:c r="C779" s="52" t="str">
        <x:v>Янз бүрийн төгсгөвчүүд (Гильз)</x:v>
      </x:c>
      <x:c r="D779" s="52" t="str">
        <x:v>Ф4мм-Ф10мм</x:v>
      </x:c>
      <x:c r="E779" s="52" t="str">
        <x:v>кг</x:v>
      </x:c>
      <x:c r="F779" s="53" t="n">
        <x:v>10</x:v>
      </x:c>
      <x:c r="G779" s="54" t="n">
        <x:v>8500</x:v>
      </x:c>
      <x:c r="H779" s="54" t="n">
        <x:v>85000</x:v>
      </x:c>
      <x:c r="I779" s="54" t="n">
        <x:f>IF(AND(ISNUMBER(F779),ISNUMBER(G779)),ROUND(F779*G779,0),H779)</x:f>
        <x:v>85000</x:v>
      </x:c>
      <x:c r="J779" s="54" t="n">
        <x:f>I779-H779</x:f>
        <x:v>0</x:v>
      </x:c>
      <x:c r="K779" s="51" t="str">
        <x:v>Багцын задаргаа</x:v>
      </x:c>
      <x:c r="L779" s="51" t="str">
        <x:f>IF(J779=0,"OK","Шалгах")</x:f>
        <x:v>OK</x:v>
      </x:c>
      <x:c r="M779" s="51" t="str">
        <x:v>Цахилгаан</x:v>
      </x:c>
      <x:c r="N779" s="51" t="n">
        <x:v>190</x:v>
      </x:c>
    </x:row>
    <x:row r="780">
      <x:c r="A780" s="51" t="str">
        <x:v>MAT-6R-0766</x:v>
      </x:c>
      <x:c r="B780" s="52" t="str">
        <x:v>КАБЕЛЬ, ШУГАМ ХООЛОЙ</x:v>
      </x:c>
      <x:c r="C780" s="52" t="str">
        <x:v>Холболтын зажим</x:v>
      </x:c>
      <x:c r="D780" s="52" t="str">
        <x:v>СИЗ-1, 2,0-4,0</x:v>
      </x:c>
      <x:c r="E780" s="52" t="str">
        <x:v>кг</x:v>
      </x:c>
      <x:c r="F780" s="53" t="n">
        <x:v>15</x:v>
      </x:c>
      <x:c r="G780" s="54" t="n">
        <x:v>5000</x:v>
      </x:c>
      <x:c r="H780" s="54" t="n">
        <x:v>75000</x:v>
      </x:c>
      <x:c r="I780" s="54" t="n">
        <x:f>IF(AND(ISNUMBER(F780),ISNUMBER(G780)),ROUND(F780*G780,0),H780)</x:f>
        <x:v>75000</x:v>
      </x:c>
      <x:c r="J780" s="54" t="n">
        <x:f>I780-H780</x:f>
        <x:v>0</x:v>
      </x:c>
      <x:c r="K780" s="51" t="str">
        <x:v>Багцын задаргаа</x:v>
      </x:c>
      <x:c r="L780" s="51" t="str">
        <x:f>IF(J780=0,"OK","Шалгах")</x:f>
        <x:v>OK</x:v>
      </x:c>
      <x:c r="M780" s="51" t="str">
        <x:v>Цахилгаан</x:v>
      </x:c>
      <x:c r="N780" s="51" t="n">
        <x:v>191</x:v>
      </x:c>
    </x:row>
    <x:row r="781">
      <x:c r="A781" s="51" t="str">
        <x:v>MAT-6R-0767</x:v>
      </x:c>
      <x:c r="B781" s="52" t="str">
        <x:v>КАБЕЛЬ, ШУГАМ ХООЛОЙ</x:v>
      </x:c>
      <x:c r="C781" s="52" t="str">
        <x:v>Кабелийн үзүүрийн бээлий</x:v>
      </x:c>
      <x:c r="D781" s="52" t="str">
        <x:v>120-70</x:v>
      </x:c>
      <x:c r="E781" s="52" t="str">
        <x:v>ш</x:v>
      </x:c>
      <x:c r="F781" s="53" t="n">
        <x:v>4</x:v>
      </x:c>
      <x:c r="G781" s="54"/>
      <x:c r="H781" s="54" t="n">
        <x:v>0</x:v>
      </x:c>
      <x:c r="I781" s="54" t="n">
        <x:f>IF(AND(ISNUMBER(F781),ISNUMBER(G781)),ROUND(F781*G781,0),H781)</x:f>
        <x:v>0</x:v>
      </x:c>
      <x:c r="J781" s="54" t="n">
        <x:f>I781-H781</x:f>
        <x:v>0</x:v>
      </x:c>
      <x:c r="K781" s="51" t="str">
        <x:v>Багцын задаргаа</x:v>
      </x:c>
      <x:c r="L781" s="51" t="str">
        <x:f>IF(J781=0,"OK","Шалгах")</x:f>
        <x:v>OK</x:v>
      </x:c>
      <x:c r="M781" s="51" t="str">
        <x:v>Цахилгаан</x:v>
      </x:c>
      <x:c r="N781" s="51" t="n">
        <x:v>192</x:v>
      </x:c>
    </x:row>
    <x:row r="782">
      <x:c r="A782" s="51" t="str">
        <x:v>MAT-6R-0768</x:v>
      </x:c>
      <x:c r="B782" s="52" t="str">
        <x:v>КАБЕЛЬ, ШУГАМ ХООЛОЙ</x:v>
      </x:c>
      <x:c r="C782" s="52" t="str">
        <x:v>Кабелийн үзүүрийн бээлий</x:v>
      </x:c>
      <x:c r="D782" s="52" t="str">
        <x:v>50-25</x:v>
      </x:c>
      <x:c r="E782" s="52" t="str">
        <x:v>ш</x:v>
      </x:c>
      <x:c r="F782" s="53" t="n">
        <x:v>40</x:v>
      </x:c>
      <x:c r="G782" s="54"/>
      <x:c r="H782" s="54" t="n">
        <x:v>0</x:v>
      </x:c>
      <x:c r="I782" s="54" t="n">
        <x:f>IF(AND(ISNUMBER(F782),ISNUMBER(G782)),ROUND(F782*G782,0),H782)</x:f>
        <x:v>0</x:v>
      </x:c>
      <x:c r="J782" s="54" t="n">
        <x:f>I782-H782</x:f>
        <x:v>0</x:v>
      </x:c>
      <x:c r="K782" s="51" t="str">
        <x:v>Багцын задаргаа</x:v>
      </x:c>
      <x:c r="L782" s="51" t="str">
        <x:f>IF(J782=0,"OK","Шалгах")</x:f>
        <x:v>OK</x:v>
      </x:c>
      <x:c r="M782" s="51" t="str">
        <x:v>Цахилгаан</x:v>
      </x:c>
      <x:c r="N782" s="51" t="n">
        <x:v>193</x:v>
      </x:c>
    </x:row>
    <x:row r="783">
      <x:c r="A783" s="51" t="str">
        <x:v>MAT-6R-0769</x:v>
      </x:c>
      <x:c r="B783" s="52" t="str">
        <x:v>КАБЕЛЬ, ШУГАМ ХООЛОЙ</x:v>
      </x:c>
      <x:c r="C783" s="52" t="str">
        <x:v>Ф 15 Сүвлэгч</x:v>
      </x:c>
      <x:c r="D783" s="52" t="str"/>
      <x:c r="E783" s="52" t="str"/>
      <x:c r="F783" s="53"/>
      <x:c r="G783" s="54"/>
      <x:c r="H783" s="54" t="n">
        <x:v>0</x:v>
      </x:c>
      <x:c r="I783" s="54" t="n">
        <x:f>IF(AND(ISNUMBER(F783),ISNUMBER(G783)),ROUND(F783*G783,0),H783)</x:f>
        <x:v>0</x:v>
      </x:c>
      <x:c r="J783" s="54" t="n">
        <x:f>I783-H783</x:f>
        <x:v>0</x:v>
      </x:c>
      <x:c r="K783" s="51" t="str">
        <x:v>Багцын задаргаа</x:v>
      </x:c>
      <x:c r="L783" s="51" t="str">
        <x:f>IF(J783=0,"OK","Шалгах")</x:f>
        <x:v>OK</x:v>
      </x:c>
      <x:c r="M783" s="51" t="str">
        <x:v>Цахилгаан</x:v>
      </x:c>
      <x:c r="N783" s="51" t="n">
        <x:v>194</x:v>
      </x:c>
    </x:row>
    <x:row r="784">
      <x:c r="A784" s="51" t="str">
        <x:v>MAT-6R-0770</x:v>
      </x:c>
      <x:c r="B784" s="52" t="str">
        <x:v>КАБЕЛЬ, ШУГАМ ХООЛОЙ</x:v>
      </x:c>
      <x:c r="C784" s="52" t="str">
        <x:v>Ф 30 Сүвлэгч</x:v>
      </x:c>
      <x:c r="D784" s="52" t="str"/>
      <x:c r="E784" s="52" t="str"/>
      <x:c r="F784" s="53"/>
      <x:c r="G784" s="54"/>
      <x:c r="H784" s="54" t="n">
        <x:v>0</x:v>
      </x:c>
      <x:c r="I784" s="54" t="n">
        <x:f>IF(AND(ISNUMBER(F784),ISNUMBER(G784)),ROUND(F784*G784,0),H784)</x:f>
        <x:v>0</x:v>
      </x:c>
      <x:c r="J784" s="54" t="n">
        <x:f>I784-H784</x:f>
        <x:v>0</x:v>
      </x:c>
      <x:c r="K784" s="51" t="str">
        <x:v>Багцын задаргаа</x:v>
      </x:c>
      <x:c r="L784" s="51" t="str">
        <x:f>IF(J784=0,"OK","Шалгах")</x:f>
        <x:v>OK</x:v>
      </x:c>
      <x:c r="M784" s="51" t="str">
        <x:v>Цахилгаан</x:v>
      </x:c>
      <x:c r="N784" s="51" t="n">
        <x:v>195</x:v>
      </x:c>
    </x:row>
    <x:row r="785">
      <x:c r="A785" s="51" t="str">
        <x:v>MAT-6R-0771</x:v>
      </x:c>
      <x:c r="B785" s="52" t="str">
        <x:v>КАБЕЛЬ, ШУГАМ ХООЛОЙ</x:v>
      </x:c>
      <x:c r="C785" s="52" t="str">
        <x:v>Утас сүвлэх пласмасан уян хоолой (CD), IP55</x:v>
      </x:c>
      <x:c r="D785" s="52" t="str">
        <x:v>Ф28 мм</x:v>
      </x:c>
      <x:c r="E785" s="52" t="str">
        <x:v>м</x:v>
      </x:c>
      <x:c r="F785" s="53" t="n">
        <x:v>1900</x:v>
      </x:c>
      <x:c r="G785" s="54" t="n">
        <x:v>616</x:v>
      </x:c>
      <x:c r="H785" s="54" t="n">
        <x:v>1170400</x:v>
      </x:c>
      <x:c r="I785" s="54" t="n">
        <x:f>IF(AND(ISNUMBER(F785),ISNUMBER(G785)),ROUND(F785*G785,0),H785)</x:f>
        <x:v>1170400</x:v>
      </x:c>
      <x:c r="J785" s="54" t="n">
        <x:f>I785-H785</x:f>
        <x:v>0</x:v>
      </x:c>
      <x:c r="K785" s="51" t="str">
        <x:v>Багцын задаргаа</x:v>
      </x:c>
      <x:c r="L785" s="51" t="str">
        <x:f>IF(J785=0,"OK","Шалгах")</x:f>
        <x:v>OK</x:v>
      </x:c>
      <x:c r="M785" s="51" t="str">
        <x:v>Цахилгаан</x:v>
      </x:c>
      <x:c r="N785" s="51" t="n">
        <x:v>196</x:v>
      </x:c>
    </x:row>
    <x:row r="786">
      <x:c r="A786" s="51" t="str">
        <x:v>MAT-6R-0772</x:v>
      </x:c>
      <x:c r="B786" s="52" t="str">
        <x:v>КАБЕЛЬ, ШУГАМ ХООЛОЙ</x:v>
      </x:c>
      <x:c r="C786" s="52" t="str">
        <x:v>Утас сүвлэх пласмасан уян хоолой (CD), IP55</x:v>
      </x:c>
      <x:c r="D786" s="52" t="str">
        <x:v>Ф22 мм</x:v>
      </x:c>
      <x:c r="E786" s="52" t="str">
        <x:v>м</x:v>
      </x:c>
      <x:c r="F786" s="53" t="n">
        <x:v>1700</x:v>
      </x:c>
      <x:c r="G786" s="54" t="n">
        <x:v>330</x:v>
      </x:c>
      <x:c r="H786" s="54" t="n">
        <x:v>561000</x:v>
      </x:c>
      <x:c r="I786" s="54" t="n">
        <x:f>IF(AND(ISNUMBER(F786),ISNUMBER(G786)),ROUND(F786*G786,0),H786)</x:f>
        <x:v>561000</x:v>
      </x:c>
      <x:c r="J786" s="54" t="n">
        <x:f>I786-H786</x:f>
        <x:v>0</x:v>
      </x:c>
      <x:c r="K786" s="51" t="str">
        <x:v>Багцын задаргаа</x:v>
      </x:c>
      <x:c r="L786" s="51" t="str">
        <x:f>IF(J786=0,"OK","Шалгах")</x:f>
        <x:v>OK</x:v>
      </x:c>
      <x:c r="M786" s="51" t="str">
        <x:v>Цахилгаан</x:v>
      </x:c>
      <x:c r="N786" s="51" t="n">
        <x:v>197</x:v>
      </x:c>
    </x:row>
    <x:row r="787">
      <x:c r="A787" s="51" t="str">
        <x:v>MAT-6R-0773</x:v>
      </x:c>
      <x:c r="B787" s="52" t="str">
        <x:v>КАБЕЛЬ, ШУГАМ ХООЛОЙ</x:v>
      </x:c>
      <x:c r="C787" s="52" t="str">
        <x:v>Утас сүвлэх пласмасан уян хоолой (CD), IP55</x:v>
      </x:c>
      <x:c r="D787" s="52" t="str">
        <x:v>Ф16 мм</x:v>
      </x:c>
      <x:c r="E787" s="52" t="str">
        <x:v>м</x:v>
      </x:c>
      <x:c r="F787" s="53" t="n">
        <x:v>20000</x:v>
      </x:c>
      <x:c r="G787" s="54" t="n">
        <x:v>270</x:v>
      </x:c>
      <x:c r="H787" s="54" t="n">
        <x:v>5400000</x:v>
      </x:c>
      <x:c r="I787" s="54" t="n">
        <x:f>IF(AND(ISNUMBER(F787),ISNUMBER(G787)),ROUND(F787*G787,0),H787)</x:f>
        <x:v>5400000</x:v>
      </x:c>
      <x:c r="J787" s="54" t="n">
        <x:f>I787-H787</x:f>
        <x:v>0</x:v>
      </x:c>
      <x:c r="K787" s="51" t="str">
        <x:v>Багцын задаргаа</x:v>
      </x:c>
      <x:c r="L787" s="51" t="str">
        <x:f>IF(J787=0,"OK","Шалгах")</x:f>
        <x:v>OK</x:v>
      </x:c>
      <x:c r="M787" s="51" t="str">
        <x:v>Цахилгаан</x:v>
      </x:c>
      <x:c r="N787" s="51" t="n">
        <x:v>198</x:v>
      </x:c>
    </x:row>
    <x:row r="788">
      <x:c r="A788" s="51" t="str">
        <x:v>MAT-6R-0774</x:v>
      </x:c>
      <x:c r="B788" s="52" t="str">
        <x:v>КАБЕЛЬ, ШУГАМ ХООЛОЙ</x:v>
      </x:c>
      <x:c r="C788" s="52" t="str">
        <x:v>Төмөр кроп</x:v>
      </x:c>
      <x:c r="D788" s="52" t="str"/>
      <x:c r="E788" s="52" t="str">
        <x:v>ш</x:v>
      </x:c>
      <x:c r="F788" s="53"/>
      <x:c r="G788" s="54"/>
      <x:c r="H788" s="54" t="n">
        <x:v>0</x:v>
      </x:c>
      <x:c r="I788" s="54" t="n">
        <x:f>IF(AND(ISNUMBER(F788),ISNUMBER(G788)),ROUND(F788*G788,0),H788)</x:f>
        <x:v>0</x:v>
      </x:c>
      <x:c r="J788" s="54" t="n">
        <x:f>I788-H788</x:f>
        <x:v>0</x:v>
      </x:c>
      <x:c r="K788" s="51" t="str">
        <x:v>Багцын задаргаа</x:v>
      </x:c>
      <x:c r="L788" s="51" t="str">
        <x:f>IF(J788=0,"OK","Шалгах")</x:f>
        <x:v>OK</x:v>
      </x:c>
      <x:c r="M788" s="51" t="str">
        <x:v>Цахилгаан</x:v>
      </x:c>
      <x:c r="N788" s="51" t="n">
        <x:v>199</x:v>
      </x:c>
    </x:row>
    <x:row r="789">
      <x:c r="A789" s="51" t="str">
        <x:v>MAT-6R-0775</x:v>
      </x:c>
      <x:c r="B789" s="52" t="str">
        <x:v>КАБЕЛЬ, ШУГАМ ХООЛОЙ</x:v>
      </x:c>
      <x:c r="C789" s="52" t="str">
        <x:v>Хоолойн холбох муфьт</x:v>
      </x:c>
      <x:c r="D789" s="52" t="str">
        <x:v>Ф22 мм</x:v>
      </x:c>
      <x:c r="E789" s="52" t="str">
        <x:v>ш</x:v>
      </x:c>
      <x:c r="F789" s="53" t="n">
        <x:v>30</x:v>
      </x:c>
      <x:c r="G789" s="54" t="n">
        <x:v>90</x:v>
      </x:c>
      <x:c r="H789" s="54" t="n">
        <x:v>2700</x:v>
      </x:c>
      <x:c r="I789" s="54" t="n">
        <x:f>IF(AND(ISNUMBER(F789),ISNUMBER(G789)),ROUND(F789*G789,0),H789)</x:f>
        <x:v>2700</x:v>
      </x:c>
      <x:c r="J789" s="54" t="n">
        <x:f>I789-H789</x:f>
        <x:v>0</x:v>
      </x:c>
      <x:c r="K789" s="51" t="str">
        <x:v>Багцын задаргаа</x:v>
      </x:c>
      <x:c r="L789" s="51" t="str">
        <x:f>IF(J789=0,"OK","Шалгах")</x:f>
        <x:v>OK</x:v>
      </x:c>
      <x:c r="M789" s="51" t="str">
        <x:v>Цахилгаан</x:v>
      </x:c>
      <x:c r="N789" s="51" t="n">
        <x:v>200</x:v>
      </x:c>
    </x:row>
    <x:row r="790">
      <x:c r="A790" s="51" t="str">
        <x:v>MAT-6R-0776</x:v>
      </x:c>
      <x:c r="B790" s="52" t="str">
        <x:v>КАБЕЛЬ, ШУГАМ ХООЛОЙ</x:v>
      </x:c>
      <x:c r="C790" s="52" t="str">
        <x:v>Хоолойн холбох муфьт</x:v>
      </x:c>
      <x:c r="D790" s="52" t="str">
        <x:v>Ф16 мм</x:v>
      </x:c>
      <x:c r="E790" s="52" t="str">
        <x:v>ш</x:v>
      </x:c>
      <x:c r="F790" s="53" t="n">
        <x:v>200</x:v>
      </x:c>
      <x:c r="G790" s="54" t="n">
        <x:v>350</x:v>
      </x:c>
      <x:c r="H790" s="54" t="n">
        <x:v>70000</x:v>
      </x:c>
      <x:c r="I790" s="54" t="n">
        <x:f>IF(AND(ISNUMBER(F790),ISNUMBER(G790)),ROUND(F790*G790,0),H790)</x:f>
        <x:v>70000</x:v>
      </x:c>
      <x:c r="J790" s="54" t="n">
        <x:f>I790-H790</x:f>
        <x:v>0</x:v>
      </x:c>
      <x:c r="K790" s="51" t="str">
        <x:v>Багцын задаргаа</x:v>
      </x:c>
      <x:c r="L790" s="51" t="str">
        <x:f>IF(J790=0,"OK","Шалгах")</x:f>
        <x:v>OK</x:v>
      </x:c>
      <x:c r="M790" s="51" t="str">
        <x:v>Цахилгаан</x:v>
      </x:c>
      <x:c r="N790" s="51" t="n">
        <x:v>201</x:v>
      </x:c>
    </x:row>
    <x:row r="791">
      <x:c r="A791" s="51" t="str">
        <x:v>MAT-6R-0777</x:v>
      </x:c>
      <x:c r="B791" s="52" t="str">
        <x:v>КАБЕЛЬ, ШУГАМ ХООЛОЙ</x:v>
      </x:c>
      <x:c r="C791" s="52" t="str">
        <x:v>Хоолойн холбох коннектор</x:v>
      </x:c>
      <x:c r="D791" s="52" t="str">
        <x:v>Ф28 мм</x:v>
      </x:c>
      <x:c r="E791" s="52" t="str">
        <x:v>ш</x:v>
      </x:c>
      <x:c r="F791" s="53" t="n">
        <x:v>250</x:v>
      </x:c>
      <x:c r="G791" s="54" t="n">
        <x:v>1000</x:v>
      </x:c>
      <x:c r="H791" s="54" t="n">
        <x:v>250000</x:v>
      </x:c>
      <x:c r="I791" s="54" t="n">
        <x:f>IF(AND(ISNUMBER(F791),ISNUMBER(G791)),ROUND(F791*G791,0),H791)</x:f>
        <x:v>250000</x:v>
      </x:c>
      <x:c r="J791" s="54" t="n">
        <x:f>I791-H791</x:f>
        <x:v>0</x:v>
      </x:c>
      <x:c r="K791" s="51" t="str">
        <x:v>Багцын задаргаа</x:v>
      </x:c>
      <x:c r="L791" s="51" t="str">
        <x:f>IF(J791=0,"OK","Шалгах")</x:f>
        <x:v>OK</x:v>
      </x:c>
      <x:c r="M791" s="51" t="str">
        <x:v>Цахилгаан</x:v>
      </x:c>
      <x:c r="N791" s="51" t="n">
        <x:v>202</x:v>
      </x:c>
    </x:row>
    <x:row r="792">
      <x:c r="A792" s="51" t="str">
        <x:v>MAT-6R-0778</x:v>
      </x:c>
      <x:c r="B792" s="52" t="str">
        <x:v>КАБЕЛЬ, ШУГАМ ХООЛОЙ</x:v>
      </x:c>
      <x:c r="C792" s="52" t="str">
        <x:v>Хоолойн холбох коннектор</x:v>
      </x:c>
      <x:c r="D792" s="52" t="str">
        <x:v>Ф22 мм</x:v>
      </x:c>
      <x:c r="E792" s="52" t="str">
        <x:v>ш</x:v>
      </x:c>
      <x:c r="F792" s="53" t="n">
        <x:v>300</x:v>
      </x:c>
      <x:c r="G792" s="54" t="n">
        <x:v>450</x:v>
      </x:c>
      <x:c r="H792" s="54" t="n">
        <x:v>135000</x:v>
      </x:c>
      <x:c r="I792" s="54" t="n">
        <x:f>IF(AND(ISNUMBER(F792),ISNUMBER(G792)),ROUND(F792*G792,0),H792)</x:f>
        <x:v>135000</x:v>
      </x:c>
      <x:c r="J792" s="54" t="n">
        <x:f>I792-H792</x:f>
        <x:v>0</x:v>
      </x:c>
      <x:c r="K792" s="51" t="str">
        <x:v>Багцын задаргаа</x:v>
      </x:c>
      <x:c r="L792" s="51" t="str">
        <x:f>IF(J792=0,"OK","Шалгах")</x:f>
        <x:v>OK</x:v>
      </x:c>
      <x:c r="M792" s="51" t="str">
        <x:v>Цахилгаан</x:v>
      </x:c>
      <x:c r="N792" s="51" t="n">
        <x:v>203</x:v>
      </x:c>
    </x:row>
    <x:row r="793">
      <x:c r="A793" s="51" t="str">
        <x:v>MAT-6R-0779</x:v>
      </x:c>
      <x:c r="B793" s="52" t="str">
        <x:v>КАБЕЛЬ, ШУГАМ ХООЛОЙ</x:v>
      </x:c>
      <x:c r="C793" s="52" t="str">
        <x:v>Хоолойн холбох коннектор</x:v>
      </x:c>
      <x:c r="D793" s="52" t="str">
        <x:v>Ф16</x:v>
      </x:c>
      <x:c r="E793" s="52" t="str">
        <x:v>ш</x:v>
      </x:c>
      <x:c r="F793" s="53" t="n">
        <x:v>12500</x:v>
      </x:c>
      <x:c r="G793" s="54" t="n">
        <x:v>350</x:v>
      </x:c>
      <x:c r="H793" s="54" t="n">
        <x:v>4375000</x:v>
      </x:c>
      <x:c r="I793" s="54" t="n">
        <x:f>IF(AND(ISNUMBER(F793),ISNUMBER(G793)),ROUND(F793*G793,0),H793)</x:f>
        <x:v>4375000</x:v>
      </x:c>
      <x:c r="J793" s="54" t="n">
        <x:f>I793-H793</x:f>
        <x:v>0</x:v>
      </x:c>
      <x:c r="K793" s="51" t="str">
        <x:v>Багцын задаргаа</x:v>
      </x:c>
      <x:c r="L793" s="51" t="str">
        <x:f>IF(J793=0,"OK","Шалгах")</x:f>
        <x:v>OK</x:v>
      </x:c>
      <x:c r="M793" s="51" t="str">
        <x:v>Цахилгаан</x:v>
      </x:c>
      <x:c r="N793" s="51" t="n">
        <x:v>204</x:v>
      </x:c>
    </x:row>
    <x:row r="794">
      <x:c r="A794" s="51" t="str">
        <x:v>MAT-6R-0780</x:v>
      </x:c>
      <x:c r="B794" s="52" t="str">
        <x:v>КАБЕЛЬ, ШУГАМ ХООЛОЙ</x:v>
      </x:c>
      <x:c r="C794" s="52" t="str">
        <x:v>Шрүп 4.2</x:v>
      </x:c>
      <x:c r="D794" s="52" t="str"/>
      <x:c r="E794" s="52" t="str">
        <x:v>ш</x:v>
      </x:c>
      <x:c r="F794" s="53"/>
      <x:c r="G794" s="54"/>
      <x:c r="H794" s="54" t="n">
        <x:v>0</x:v>
      </x:c>
      <x:c r="I794" s="54" t="n">
        <x:f>IF(AND(ISNUMBER(F794),ISNUMBER(G794)),ROUND(F794*G794,0),H794)</x:f>
        <x:v>0</x:v>
      </x:c>
      <x:c r="J794" s="54" t="n">
        <x:f>I794-H794</x:f>
        <x:v>0</x:v>
      </x:c>
      <x:c r="K794" s="51" t="str">
        <x:v>Багцын задаргаа</x:v>
      </x:c>
      <x:c r="L794" s="51" t="str">
        <x:f>IF(J794=0,"OK","Шалгах")</x:f>
        <x:v>OK</x:v>
      </x:c>
      <x:c r="M794" s="51" t="str">
        <x:v>Цахилгаан</x:v>
      </x:c>
      <x:c r="N794" s="51" t="n">
        <x:v>205</x:v>
      </x:c>
    </x:row>
    <x:row r="795">
      <x:c r="A795" s="51" t="str">
        <x:v>MAT-6R-0781</x:v>
      </x:c>
      <x:c r="B795" s="52" t="str">
        <x:v>КАБЕЛИЙН ТАВИУР</x:v>
      </x:c>
      <x:c r="C795" s="52" t="str">
        <x:v>Кабелийн битүү, тагтай төмөр тавиур</x:v>
      </x:c>
      <x:c r="D795" s="52" t="str">
        <x:v>3000х400х100</x:v>
      </x:c>
      <x:c r="E795" s="52" t="str">
        <x:v>м</x:v>
      </x:c>
      <x:c r="F795" s="53" t="n">
        <x:v>45</x:v>
      </x:c>
      <x:c r="G795" s="54" t="n">
        <x:v>69000</x:v>
      </x:c>
      <x:c r="H795" s="54" t="n">
        <x:v>3105000</x:v>
      </x:c>
      <x:c r="I795" s="54" t="n">
        <x:f>IF(AND(ISNUMBER(F795),ISNUMBER(G795)),ROUND(F795*G795,0),H795)</x:f>
        <x:v>3105000</x:v>
      </x:c>
      <x:c r="J795" s="54" t="n">
        <x:f>I795-H795</x:f>
        <x:v>0</x:v>
      </x:c>
      <x:c r="K795" s="51" t="str">
        <x:v>Багцын задаргаа</x:v>
      </x:c>
      <x:c r="L795" s="51" t="str">
        <x:f>IF(J795=0,"OK","Шалгах")</x:f>
        <x:v>OK</x:v>
      </x:c>
      <x:c r="M795" s="51" t="str">
        <x:v>Цахилгаан</x:v>
      </x:c>
      <x:c r="N795" s="51" t="n">
        <x:v>208</x:v>
      </x:c>
    </x:row>
    <x:row r="796">
      <x:c r="A796" s="51" t="str">
        <x:v>MAT-6R-0782</x:v>
      </x:c>
      <x:c r="B796" s="52" t="str">
        <x:v>КАБЕЛИЙН ТАВИУР</x:v>
      </x:c>
      <x:c r="C796" s="52" t="str">
        <x:v>Кабелийн битүү, тагтай төмөр тавиур</x:v>
      </x:c>
      <x:c r="D796" s="52" t="str">
        <x:v>3000х200х100</x:v>
      </x:c>
      <x:c r="E796" s="52" t="str">
        <x:v>м</x:v>
      </x:c>
      <x:c r="F796" s="53" t="n">
        <x:v>15</x:v>
      </x:c>
      <x:c r="G796" s="54" t="n">
        <x:v>42000</x:v>
      </x:c>
      <x:c r="H796" s="54" t="n">
        <x:v>630000</x:v>
      </x:c>
      <x:c r="I796" s="54" t="n">
        <x:f>IF(AND(ISNUMBER(F796),ISNUMBER(G796)),ROUND(F796*G796,0),H796)</x:f>
        <x:v>630000</x:v>
      </x:c>
      <x:c r="J796" s="54" t="n">
        <x:f>I796-H796</x:f>
        <x:v>0</x:v>
      </x:c>
      <x:c r="K796" s="51" t="str">
        <x:v>Багцын задаргаа</x:v>
      </x:c>
      <x:c r="L796" s="51" t="str">
        <x:f>IF(J796=0,"OK","Шалгах")</x:f>
        <x:v>OK</x:v>
      </x:c>
      <x:c r="M796" s="51" t="str">
        <x:v>Цахилгаан</x:v>
      </x:c>
      <x:c r="N796" s="51" t="n">
        <x:v>209</x:v>
      </x:c>
    </x:row>
    <x:row r="797">
      <x:c r="A797" s="51" t="str">
        <x:v>MAT-6R-0783</x:v>
      </x:c>
      <x:c r="B797" s="52" t="str">
        <x:v>КАБЕЛИЙН ТАВИУР</x:v>
      </x:c>
      <x:c r="C797" s="52" t="str">
        <x:v>Кабелийн битүү, тагтай төмөр тавиур</x:v>
      </x:c>
      <x:c r="D797" s="52" t="str">
        <x:v>нэмэлт</x:v>
      </x:c>
      <x:c r="E797" s="52" t="str">
        <x:v>м</x:v>
      </x:c>
      <x:c r="F797" s="53"/>
      <x:c r="G797" s="54"/>
      <x:c r="H797" s="54" t="n">
        <x:v>0</x:v>
      </x:c>
      <x:c r="I797" s="54" t="n">
        <x:f>IF(AND(ISNUMBER(F797),ISNUMBER(G797)),ROUND(F797*G797,0),H797)</x:f>
        <x:v>0</x:v>
      </x:c>
      <x:c r="J797" s="54" t="n">
        <x:f>I797-H797</x:f>
        <x:v>0</x:v>
      </x:c>
      <x:c r="K797" s="51" t="str">
        <x:v>Багцын задаргаа</x:v>
      </x:c>
      <x:c r="L797" s="51" t="str">
        <x:f>IF(J797=0,"OK","Шалгах")</x:f>
        <x:v>OK</x:v>
      </x:c>
      <x:c r="M797" s="51" t="str">
        <x:v>Цахилгаан</x:v>
      </x:c>
      <x:c r="N797" s="51" t="n">
        <x:v>210</x:v>
      </x:c>
    </x:row>
    <x:row r="798">
      <x:c r="A798" s="51" t="str">
        <x:v>MAT-6R-0784</x:v>
      </x:c>
      <x:c r="B798" s="52" t="str">
        <x:v>КАБЕЛИЙН ТАВИУР</x:v>
      </x:c>
      <x:c r="C798" s="52" t="str">
        <x:v>Булан</x:v>
      </x:c>
      <x:c r="D798" s="52" t="str">
        <x:v>400*90 градус</x:v>
      </x:c>
      <x:c r="E798" s="52" t="str">
        <x:v>ш</x:v>
      </x:c>
      <x:c r="F798" s="53" t="n">
        <x:v>5</x:v>
      </x:c>
      <x:c r="G798" s="54" t="n">
        <x:v>38000</x:v>
      </x:c>
      <x:c r="H798" s="54" t="n">
        <x:v>190000</x:v>
      </x:c>
      <x:c r="I798" s="54" t="n">
        <x:f>IF(AND(ISNUMBER(F798),ISNUMBER(G798)),ROUND(F798*G798,0),H798)</x:f>
        <x:v>190000</x:v>
      </x:c>
      <x:c r="J798" s="54" t="n">
        <x:f>I798-H798</x:f>
        <x:v>0</x:v>
      </x:c>
      <x:c r="K798" s="51" t="str">
        <x:v>Багцын задаргаа</x:v>
      </x:c>
      <x:c r="L798" s="51" t="str">
        <x:f>IF(J798=0,"OK","Шалгах")</x:f>
        <x:v>OK</x:v>
      </x:c>
      <x:c r="M798" s="51" t="str">
        <x:v>Цахилгаан</x:v>
      </x:c>
      <x:c r="N798" s="51" t="n">
        <x:v>211</x:v>
      </x:c>
    </x:row>
    <x:row r="799">
      <x:c r="A799" s="51" t="str">
        <x:v>MAT-6R-0785</x:v>
      </x:c>
      <x:c r="B799" s="52" t="str">
        <x:v>КАБЕЛИЙН ТАВИУР</x:v>
      </x:c>
      <x:c r="C799" s="52" t="str">
        <x:v>Гуравлагч</x:v>
      </x:c>
      <x:c r="D799" s="52" t="str">
        <x:v>400-н</x:v>
      </x:c>
      <x:c r="E799" s="52" t="str">
        <x:v>ш</x:v>
      </x:c>
      <x:c r="F799" s="53" t="n">
        <x:v>2</x:v>
      </x:c>
      <x:c r="G799" s="54" t="n">
        <x:v>78000</x:v>
      </x:c>
      <x:c r="H799" s="54" t="n">
        <x:v>156000</x:v>
      </x:c>
      <x:c r="I799" s="54" t="n">
        <x:f>IF(AND(ISNUMBER(F799),ISNUMBER(G799)),ROUND(F799*G799,0),H799)</x:f>
        <x:v>156000</x:v>
      </x:c>
      <x:c r="J799" s="54" t="n">
        <x:f>I799-H799</x:f>
        <x:v>0</x:v>
      </x:c>
      <x:c r="K799" s="51" t="str">
        <x:v>Багцын задаргаа</x:v>
      </x:c>
      <x:c r="L799" s="51" t="str">
        <x:f>IF(J799=0,"OK","Шалгах")</x:f>
        <x:v>OK</x:v>
      </x:c>
      <x:c r="M799" s="51" t="str">
        <x:v>Цахилгаан</x:v>
      </x:c>
      <x:c r="N799" s="51" t="n">
        <x:v>212</x:v>
      </x:c>
    </x:row>
    <x:row r="800">
      <x:c r="A800" s="51" t="str">
        <x:v>MAT-6R-0786</x:v>
      </x:c>
      <x:c r="B800" s="52" t="str">
        <x:v>КАБЕЛИЙН ТАВИУР</x:v>
      </x:c>
      <x:c r="C800" s="52" t="str">
        <x:v>Булан</x:v>
      </x:c>
      <x:c r="D800" s="52" t="str">
        <x:v>200*90 градус</x:v>
      </x:c>
      <x:c r="E800" s="52" t="str">
        <x:v>ш</x:v>
      </x:c>
      <x:c r="F800" s="53" t="n">
        <x:v>4</x:v>
      </x:c>
      <x:c r="G800" s="54" t="n">
        <x:v>30000</x:v>
      </x:c>
      <x:c r="H800" s="54" t="n">
        <x:v>120000</x:v>
      </x:c>
      <x:c r="I800" s="54" t="n">
        <x:f>IF(AND(ISNUMBER(F800),ISNUMBER(G800)),ROUND(F800*G800,0),H800)</x:f>
        <x:v>120000</x:v>
      </x:c>
      <x:c r="J800" s="54" t="n">
        <x:f>I800-H800</x:f>
        <x:v>0</x:v>
      </x:c>
      <x:c r="K800" s="51" t="str">
        <x:v>Багцын задаргаа</x:v>
      </x:c>
      <x:c r="L800" s="51" t="str">
        <x:f>IF(J800=0,"OK","Шалгах")</x:f>
        <x:v>OK</x:v>
      </x:c>
      <x:c r="M800" s="51" t="str">
        <x:v>Цахилгаан</x:v>
      </x:c>
      <x:c r="N800" s="51" t="n">
        <x:v>213</x:v>
      </x:c>
    </x:row>
    <x:row r="801">
      <x:c r="A801" s="51" t="str">
        <x:v>MAT-6R-0787</x:v>
      </x:c>
      <x:c r="B801" s="52" t="str">
        <x:v>КАБЕЛИЙН ТАВИУР</x:v>
      </x:c>
      <x:c r="C801" s="52" t="str">
        <x:v>Эргэлтийн салаалагч / дөрөвлөгч</x:v>
      </x:c>
      <x:c r="D801" s="52" t="str"/>
      <x:c r="E801" s="52" t="str">
        <x:v>комп</x:v>
      </x:c>
      <x:c r="F801" s="53" t="n">
        <x:v>1</x:v>
      </x:c>
      <x:c r="G801" s="54" t="n">
        <x:v>165000</x:v>
      </x:c>
      <x:c r="H801" s="54" t="n">
        <x:v>165000</x:v>
      </x:c>
      <x:c r="I801" s="54" t="n">
        <x:f>IF(AND(ISNUMBER(F801),ISNUMBER(G801)),ROUND(F801*G801,0),H801)</x:f>
        <x:v>165000</x:v>
      </x:c>
      <x:c r="J801" s="54" t="n">
        <x:f>I801-H801</x:f>
        <x:v>0</x:v>
      </x:c>
      <x:c r="K801" s="51" t="str">
        <x:v>Багцын задаргаа</x:v>
      </x:c>
      <x:c r="L801" s="51" t="str">
        <x:f>IF(J801=0,"OK","Шалгах")</x:f>
        <x:v>OK</x:v>
      </x:c>
      <x:c r="M801" s="51" t="str">
        <x:v>Цахилгаан</x:v>
      </x:c>
      <x:c r="N801" s="51" t="n">
        <x:v>214</x:v>
      </x:c>
    </x:row>
    <x:row r="802">
      <x:c r="A802" s="51" t="str">
        <x:v>MAT-6R-0788</x:v>
      </x:c>
      <x:c r="B802" s="52" t="str">
        <x:v>КАБЕЛИЙН ТАВИУР</x:v>
      </x:c>
      <x:c r="C802" s="52" t="str">
        <x:v>Тогтоогч 20 см</x:v>
      </x:c>
      <x:c r="D802" s="52" t="str"/>
      <x:c r="E802" s="52" t="str">
        <x:v>ш</x:v>
      </x:c>
      <x:c r="F802" s="53" t="n">
        <x:v>15</x:v>
      </x:c>
      <x:c r="G802" s="54" t="n">
        <x:v>15000</x:v>
      </x:c>
      <x:c r="H802" s="54" t="n">
        <x:v>225000</x:v>
      </x:c>
      <x:c r="I802" s="54" t="n">
        <x:f>IF(AND(ISNUMBER(F802),ISNUMBER(G802)),ROUND(F802*G802,0),H802)</x:f>
        <x:v>225000</x:v>
      </x:c>
      <x:c r="J802" s="54" t="n">
        <x:f>I802-H802</x:f>
        <x:v>0</x:v>
      </x:c>
      <x:c r="K802" s="51" t="str">
        <x:v>Багцын задаргаа</x:v>
      </x:c>
      <x:c r="L802" s="51" t="str">
        <x:f>IF(J802=0,"OK","Шалгах")</x:f>
        <x:v>OK</x:v>
      </x:c>
      <x:c r="M802" s="51" t="str">
        <x:v>Цахилгаан</x:v>
      </x:c>
      <x:c r="N802" s="51" t="n">
        <x:v>215</x:v>
      </x:c>
    </x:row>
    <x:row r="803">
      <x:c r="A803" s="51" t="str">
        <x:v>MAT-6R-0789</x:v>
      </x:c>
      <x:c r="B803" s="52" t="str">
        <x:v>КАБЕЛИЙН ТАВИУР</x:v>
      </x:c>
      <x:c r="C803" s="52" t="str">
        <x:v>Тогтоогч 40 см</x:v>
      </x:c>
      <x:c r="D803" s="52" t="str"/>
      <x:c r="E803" s="52" t="str">
        <x:v>ш</x:v>
      </x:c>
      <x:c r="F803" s="53" t="n">
        <x:v>45</x:v>
      </x:c>
      <x:c r="G803" s="54" t="n">
        <x:v>15000</x:v>
      </x:c>
      <x:c r="H803" s="54" t="n">
        <x:v>675000</x:v>
      </x:c>
      <x:c r="I803" s="54" t="n">
        <x:f>IF(AND(ISNUMBER(F803),ISNUMBER(G803)),ROUND(F803*G803,0),H803)</x:f>
        <x:v>675000</x:v>
      </x:c>
      <x:c r="J803" s="54" t="n">
        <x:f>I803-H803</x:f>
        <x:v>0</x:v>
      </x:c>
      <x:c r="K803" s="51" t="str">
        <x:v>Багцын задаргаа</x:v>
      </x:c>
      <x:c r="L803" s="51" t="str">
        <x:f>IF(J803=0,"OK","Шалгах")</x:f>
        <x:v>OK</x:v>
      </x:c>
      <x:c r="M803" s="51" t="str">
        <x:v>Цахилгаан</x:v>
      </x:c>
      <x:c r="N803" s="51" t="n">
        <x:v>216</x:v>
      </x:c>
    </x:row>
    <x:row r="804">
      <x:c r="A804" s="51" t="str">
        <x:v>MAT-6R-0790</x:v>
      </x:c>
      <x:c r="B804" s="52" t="str">
        <x:v>КАБЕЛИЙН ТАВИУР</x:v>
      </x:c>
      <x:c r="C804" s="52" t="str">
        <x:v>Бэхлэх хийц</x:v>
      </x:c>
      <x:c r="D804" s="52" t="str"/>
      <x:c r="E804" s="52" t="str">
        <x:v>комп</x:v>
      </x:c>
      <x:c r="F804" s="53" t="n">
        <x:v>56</x:v>
      </x:c>
      <x:c r="G804" s="54" t="n">
        <x:v>15000</x:v>
      </x:c>
      <x:c r="H804" s="54" t="n">
        <x:v>840000</x:v>
      </x:c>
      <x:c r="I804" s="54" t="n">
        <x:f>IF(AND(ISNUMBER(F804),ISNUMBER(G804)),ROUND(F804*G804,0),H804)</x:f>
        <x:v>840000</x:v>
      </x:c>
      <x:c r="J804" s="54" t="n">
        <x:f>I804-H804</x:f>
        <x:v>0</x:v>
      </x:c>
      <x:c r="K804" s="51" t="str">
        <x:v>Багцын задаргаа</x:v>
      </x:c>
      <x:c r="L804" s="51" t="str">
        <x:f>IF(J804=0,"OK","Шалгах")</x:f>
        <x:v>OK</x:v>
      </x:c>
      <x:c r="M804" s="51" t="str">
        <x:v>Цахилгаан</x:v>
      </x:c>
      <x:c r="N804" s="51" t="n">
        <x:v>217</x:v>
      </x:c>
    </x:row>
    <x:row r="805">
      <x:c r="A805" s="51" t="str">
        <x:v>MAT-6R-0791</x:v>
      </x:c>
      <x:c r="B805" s="52" t="str">
        <x:v>КАБЕЛИЙН ТАВИУР</x:v>
      </x:c>
      <x:c r="C805" s="52" t="str">
        <x:v>Боолт, гайк, шайбе</x:v>
      </x:c>
      <x:c r="D805" s="52" t="str">
        <x:v>Ф10-Ф16</x:v>
      </x:c>
      <x:c r="E805" s="52" t="str">
        <x:v>кг</x:v>
      </x:c>
      <x:c r="F805" s="53" t="n">
        <x:v>5</x:v>
      </x:c>
      <x:c r="G805" s="54" t="n">
        <x:v>20000</x:v>
      </x:c>
      <x:c r="H805" s="54" t="n">
        <x:v>100000</x:v>
      </x:c>
      <x:c r="I805" s="54" t="n">
        <x:f>IF(AND(ISNUMBER(F805),ISNUMBER(G805)),ROUND(F805*G805,0),H805)</x:f>
        <x:v>100000</x:v>
      </x:c>
      <x:c r="J805" s="54" t="n">
        <x:f>I805-H805</x:f>
        <x:v>0</x:v>
      </x:c>
      <x:c r="K805" s="51" t="str">
        <x:v>Багцын задаргаа</x:v>
      </x:c>
      <x:c r="L805" s="51" t="str">
        <x:f>IF(J805=0,"OK","Шалгах")</x:f>
        <x:v>OK</x:v>
      </x:c>
      <x:c r="M805" s="51" t="str">
        <x:v>Цахилгаан</x:v>
      </x:c>
      <x:c r="N805" s="51" t="n">
        <x:v>218</x:v>
      </x:c>
    </x:row>
    <x:row r="806">
      <x:c r="A806" s="51" t="str">
        <x:v>MAT-6R-0792</x:v>
      </x:c>
      <x:c r="B806" s="52" t="str">
        <x:v>КАБЕЛИЙН ТАВИУР</x:v>
      </x:c>
      <x:c r="C806" s="52" t="str">
        <x:v>Бетонон лотки</x:v>
      </x:c>
      <x:c r="D806" s="52" t="str"/>
      <x:c r="E806" s="52" t="str">
        <x:v>м</x:v>
      </x:c>
      <x:c r="F806" s="53"/>
      <x:c r="G806" s="54"/>
      <x:c r="H806" s="54" t="n">
        <x:v>0</x:v>
      </x:c>
      <x:c r="I806" s="54" t="n">
        <x:f>IF(AND(ISNUMBER(F806),ISNUMBER(G806)),ROUND(F806*G806,0),H806)</x:f>
        <x:v>0</x:v>
      </x:c>
      <x:c r="J806" s="54" t="n">
        <x:f>I806-H806</x:f>
        <x:v>0</x:v>
      </x:c>
      <x:c r="K806" s="51" t="str">
        <x:v>Багцын задаргаа</x:v>
      </x:c>
      <x:c r="L806" s="51" t="str">
        <x:f>IF(J806=0,"OK","Шалгах")</x:f>
        <x:v>OK</x:v>
      </x:c>
      <x:c r="M806" s="51" t="str">
        <x:v>Цахилгаан</x:v>
      </x:c>
      <x:c r="N806" s="51" t="n">
        <x:v>219</x:v>
      </x:c>
    </x:row>
    <x:row r="807">
      <x:c r="A807" s="51" t="str">
        <x:v>MAT-6R-0793</x:v>
      </x:c>
      <x:c r="B807" s="52" t="str">
        <x:v>Хоолой хаялт утас сүвэлгээ</x:v>
      </x:c>
      <x:c r="C807" s="52" t="str">
        <x:v>UTP Cat 6 8*0.5</x:v>
      </x:c>
      <x:c r="D807" s="52" t="str"/>
      <x:c r="E807" s="52" t="str">
        <x:v>м</x:v>
      </x:c>
      <x:c r="F807" s="53" t="n">
        <x:v>3700</x:v>
      </x:c>
      <x:c r="G807" s="54" t="n">
        <x:v>1250</x:v>
      </x:c>
      <x:c r="H807" s="54" t="n">
        <x:v>4625000</x:v>
      </x:c>
      <x:c r="I807" s="54" t="n">
        <x:f>IF(AND(ISNUMBER(F807),ISNUMBER(G807)),ROUND(F807*G807,0),H807)</x:f>
        <x:v>4625000</x:v>
      </x:c>
      <x:c r="J807" s="54" t="n">
        <x:f>I807-H807</x:f>
        <x:v>0</x:v>
      </x:c>
      <x:c r="K807" s="51" t="str">
        <x:v>Материал</x:v>
      </x:c>
      <x:c r="L807" s="51" t="str">
        <x:f>IF(J807=0,"OK","Шалгах")</x:f>
        <x:v>OK</x:v>
      </x:c>
      <x:c r="M807" s="51" t="str">
        <x:v>Холбоо</x:v>
      </x:c>
      <x:c r="N807" s="51" t="n">
        <x:v>8</x:v>
      </x:c>
    </x:row>
    <x:row r="808">
      <x:c r="A808" s="51" t="str">
        <x:v>MAT-6R-0794</x:v>
      </x:c>
      <x:c r="B808" s="52" t="str">
        <x:v>Хоолой хаялт утас сүвэлгээ</x:v>
      </x:c>
      <x:c r="C808" s="52" t="str">
        <x:v>UTP Cat 6 4*0.5</x:v>
      </x:c>
      <x:c r="D808" s="52" t="str"/>
      <x:c r="E808" s="52" t="str">
        <x:v>м</x:v>
      </x:c>
      <x:c r="F808" s="53" t="n">
        <x:v>3700</x:v>
      </x:c>
      <x:c r="G808" s="54" t="n">
        <x:v>950</x:v>
      </x:c>
      <x:c r="H808" s="54" t="n">
        <x:v>3515000</x:v>
      </x:c>
      <x:c r="I808" s="54" t="n">
        <x:f>IF(AND(ISNUMBER(F808),ISNUMBER(G808)),ROUND(F808*G808,0),H808)</x:f>
        <x:v>3515000</x:v>
      </x:c>
      <x:c r="J808" s="54" t="n">
        <x:f>I808-H808</x:f>
        <x:v>0</x:v>
      </x:c>
      <x:c r="K808" s="51" t="str">
        <x:v>Материал</x:v>
      </x:c>
      <x:c r="L808" s="51" t="str">
        <x:f>IF(J808=0,"OK","Шалгах")</x:f>
        <x:v>OK</x:v>
      </x:c>
      <x:c r="M808" s="51" t="str">
        <x:v>Холбоо</x:v>
      </x:c>
      <x:c r="N808" s="51" t="n">
        <x:v>9</x:v>
      </x:c>
    </x:row>
    <x:row r="809">
      <x:c r="A809" s="51" t="str">
        <x:v>MAT-6R-0795</x:v>
      </x:c>
      <x:c r="B809" s="52" t="str">
        <x:v>Хоолой хаялт утас сүвэлгээ</x:v>
      </x:c>
      <x:c r="C809" s="52" t="str">
        <x:v>1 корын шилэн кабель</x:v>
      </x:c>
      <x:c r="D809" s="52" t="str"/>
      <x:c r="E809" s="52" t="str">
        <x:v>м</x:v>
      </x:c>
      <x:c r="F809" s="53" t="n">
        <x:v>1000</x:v>
      </x:c>
      <x:c r="G809" s="54" t="n">
        <x:v>990</x:v>
      </x:c>
      <x:c r="H809" s="54" t="n">
        <x:v>990000</x:v>
      </x:c>
      <x:c r="I809" s="54" t="n">
        <x:f>IF(AND(ISNUMBER(F809),ISNUMBER(G809)),ROUND(F809*G809,0),H809)</x:f>
        <x:v>990000</x:v>
      </x:c>
      <x:c r="J809" s="54" t="n">
        <x:f>I809-H809</x:f>
        <x:v>0</x:v>
      </x:c>
      <x:c r="K809" s="51" t="str">
        <x:v>Материал</x:v>
      </x:c>
      <x:c r="L809" s="51" t="str">
        <x:f>IF(J809=0,"OK","Шалгах")</x:f>
        <x:v>OK</x:v>
      </x:c>
      <x:c r="M809" s="51" t="str">
        <x:v>Холбоо</x:v>
      </x:c>
      <x:c r="N809" s="51" t="n">
        <x:v>10</x:v>
      </x:c>
    </x:row>
    <x:row r="810">
      <x:c r="A810" s="51" t="str">
        <x:v>MAT-6R-0796</x:v>
      </x:c>
      <x:c r="B810" s="52" t="str">
        <x:v>Хоолой хаялт утас сүвэлгээ</x:v>
      </x:c>
      <x:c r="C810" s="52" t="str">
        <x:v>Уян пластмассан хоолой CD22</x:v>
      </x:c>
      <x:c r="D810" s="52" t="str"/>
      <x:c r="E810" s="52" t="str">
        <x:v>м</x:v>
      </x:c>
      <x:c r="F810" s="53" t="n">
        <x:v>2500</x:v>
      </x:c>
      <x:c r="G810" s="54" t="n">
        <x:v>440</x:v>
      </x:c>
      <x:c r="H810" s="54" t="n">
        <x:v>1100000</x:v>
      </x:c>
      <x:c r="I810" s="54" t="n">
        <x:f>IF(AND(ISNUMBER(F810),ISNUMBER(G810)),ROUND(F810*G810,0),H810)</x:f>
        <x:v>1100000</x:v>
      </x:c>
      <x:c r="J810" s="54" t="n">
        <x:f>I810-H810</x:f>
        <x:v>0</x:v>
      </x:c>
      <x:c r="K810" s="51" t="str">
        <x:v>Материал</x:v>
      </x:c>
      <x:c r="L810" s="51" t="str">
        <x:f>IF(J810=0,"OK","Шалгах")</x:f>
        <x:v>OK</x:v>
      </x:c>
      <x:c r="M810" s="51" t="str">
        <x:v>Холбоо</x:v>
      </x:c>
      <x:c r="N810" s="51" t="n">
        <x:v>11</x:v>
      </x:c>
    </x:row>
    <x:row r="811">
      <x:c r="A811" s="51" t="str">
        <x:v>MAT-6R-0797</x:v>
      </x:c>
      <x:c r="B811" s="52" t="str">
        <x:v>Хоолой хаялт утас сүвэлгээ</x:v>
      </x:c>
      <x:c r="C811" s="52" t="str">
        <x:v>Уян пластмассан хоолой CD32</x:v>
      </x:c>
      <x:c r="D811" s="52" t="str"/>
      <x:c r="E811" s="52" t="str">
        <x:v>м</x:v>
      </x:c>
      <x:c r="F811" s="53" t="n">
        <x:v>1200</x:v>
      </x:c>
      <x:c r="G811" s="54" t="n">
        <x:v>480</x:v>
      </x:c>
      <x:c r="H811" s="54" t="n">
        <x:v>576000</x:v>
      </x:c>
      <x:c r="I811" s="54" t="n">
        <x:f>IF(AND(ISNUMBER(F811),ISNUMBER(G811)),ROUND(F811*G811,0),H811)</x:f>
        <x:v>576000</x:v>
      </x:c>
      <x:c r="J811" s="54" t="n">
        <x:f>I811-H811</x:f>
        <x:v>0</x:v>
      </x:c>
      <x:c r="K811" s="51" t="str">
        <x:v>Материал</x:v>
      </x:c>
      <x:c r="L811" s="51" t="str">
        <x:f>IF(J811=0,"OK","Шалгах")</x:f>
        <x:v>OK</x:v>
      </x:c>
      <x:c r="M811" s="51" t="str">
        <x:v>Холбоо</x:v>
      </x:c>
      <x:c r="N811" s="51" t="n">
        <x:v>12</x:v>
      </x:c>
    </x:row>
    <x:row r="812">
      <x:c r="A812" s="51" t="str">
        <x:v>MAT-6R-0798</x:v>
      </x:c>
      <x:c r="B812" s="52" t="str">
        <x:v>Хоолой хаялт утас сүвэлгээ</x:v>
      </x:c>
      <x:c r="C812" s="52" t="str">
        <x:v>Дотор сүлжээний Шилэн кабелийн төгсгөлийн төхөөрөмж</x:v>
      </x:c>
      <x:c r="D812" s="52" t="str"/>
      <x:c r="E812" s="52" t="str">
        <x:v>ш</x:v>
      </x:c>
      <x:c r="F812" s="53" t="n">
        <x:v>2</x:v>
      </x:c>
      <x:c r="G812" s="54" t="n">
        <x:v>5500</x:v>
      </x:c>
      <x:c r="H812" s="54" t="n">
        <x:v>11000</x:v>
      </x:c>
      <x:c r="I812" s="54" t="n">
        <x:f>IF(AND(ISNUMBER(F812),ISNUMBER(G812)),ROUND(F812*G812,0),H812)</x:f>
        <x:v>11000</x:v>
      </x:c>
      <x:c r="J812" s="54" t="n">
        <x:f>I812-H812</x:f>
        <x:v>0</x:v>
      </x:c>
      <x:c r="K812" s="51" t="str">
        <x:v>Материал</x:v>
      </x:c>
      <x:c r="L812" s="51" t="str">
        <x:f>IF(J812=0,"OK","Шалгах")</x:f>
        <x:v>OK</x:v>
      </x:c>
      <x:c r="M812" s="51" t="str">
        <x:v>Холбоо</x:v>
      </x:c>
      <x:c r="N812" s="51" t="n">
        <x:v>13</x:v>
      </x:c>
    </x:row>
    <x:row r="813">
      <x:c r="A813" s="51" t="str">
        <x:v>MAT-6R-0799</x:v>
      </x:c>
      <x:c r="B813" s="52" t="str">
        <x:v>Хоолой хаялт утас сүвэлгээ</x:v>
      </x:c>
      <x:c r="C813" s="52" t="str">
        <x:v>Шөрмөс салаалагч</x:v>
      </x:c>
      <x:c r="D813" s="52" t="str"/>
      <x:c r="E813" s="52" t="str">
        <x:v>ш</x:v>
      </x:c>
      <x:c r="F813" s="53" t="n">
        <x:v>16</x:v>
      </x:c>
      <x:c r="G813" s="54" t="n">
        <x:v>5000</x:v>
      </x:c>
      <x:c r="H813" s="54" t="n">
        <x:v>80000</x:v>
      </x:c>
      <x:c r="I813" s="54" t="n">
        <x:f>IF(AND(ISNUMBER(F813),ISNUMBER(G813)),ROUND(F813*G813,0),H813)</x:f>
        <x:v>80000</x:v>
      </x:c>
      <x:c r="J813" s="54" t="n">
        <x:f>I813-H813</x:f>
        <x:v>0</x:v>
      </x:c>
      <x:c r="K813" s="51" t="str">
        <x:v>Материал</x:v>
      </x:c>
      <x:c r="L813" s="51" t="str">
        <x:f>IF(J813=0,"OK","Шалгах")</x:f>
        <x:v>OK</x:v>
      </x:c>
      <x:c r="M813" s="51" t="str">
        <x:v>Холбоо</x:v>
      </x:c>
      <x:c r="N813" s="51" t="n">
        <x:v>14</x:v>
      </x:c>
    </x:row>
    <x:row r="814">
      <x:c r="A814" s="51" t="str">
        <x:v>MAT-6R-0800</x:v>
      </x:c>
      <x:c r="B814" s="52" t="str">
        <x:v>Хоолой хаялт утас сүвэлгээ</x:v>
      </x:c>
      <x:c r="C814" s="52" t="str">
        <x:v>Оптик сүлжээний төгсгөлийн төхөөрөмж 1кор,4ш-RJ45, 1ш-RJ1</x:v>
      </x:c>
      <x:c r="D814" s="52" t="str"/>
      <x:c r="E814" s="52" t="str">
        <x:v>ш</x:v>
      </x:c>
      <x:c r="F814" s="53" t="n">
        <x:v>123</x:v>
      </x:c>
      <x:c r="G814" s="54" t="n">
        <x:v>15000</x:v>
      </x:c>
      <x:c r="H814" s="54" t="n">
        <x:v>1845000</x:v>
      </x:c>
      <x:c r="I814" s="54" t="n">
        <x:f>IF(AND(ISNUMBER(F814),ISNUMBER(G814)),ROUND(F814*G814,0),H814)</x:f>
        <x:v>1845000</x:v>
      </x:c>
      <x:c r="J814" s="54" t="n">
        <x:f>I814-H814</x:f>
        <x:v>0</x:v>
      </x:c>
      <x:c r="K814" s="51" t="str">
        <x:v>Материал</x:v>
      </x:c>
      <x:c r="L814" s="51" t="str">
        <x:f>IF(J814=0,"OK","Шалгах")</x:f>
        <x:v>OK</x:v>
      </x:c>
      <x:c r="M814" s="51" t="str">
        <x:v>Холбоо</x:v>
      </x:c>
      <x:c r="N814" s="51" t="n">
        <x:v>15</x:v>
      </x:c>
    </x:row>
    <x:row r="815">
      <x:c r="A815" s="51" t="str">
        <x:v>MAT-6R-0801</x:v>
      </x:c>
      <x:c r="B815" s="52" t="str">
        <x:v>Хоолой хаялт утас сүвэлгээ</x:v>
      </x:c>
      <x:c r="C815" s="52" t="str">
        <x:v>Сүлжээ салаалах төхөөрөмж /5 порт 10/100/1000Gb</x:v>
      </x:c>
      <x:c r="D815" s="52" t="str"/>
      <x:c r="E815" s="52" t="str">
        <x:v>ш</x:v>
      </x:c>
      <x:c r="F815" s="53" t="n">
        <x:v>1</x:v>
      </x:c>
      <x:c r="G815" s="54" t="n">
        <x:v>150000</x:v>
      </x:c>
      <x:c r="H815" s="54" t="n">
        <x:v>150000</x:v>
      </x:c>
      <x:c r="I815" s="54" t="n">
        <x:f>IF(AND(ISNUMBER(F815),ISNUMBER(G815)),ROUND(F815*G815,0),H815)</x:f>
        <x:v>150000</x:v>
      </x:c>
      <x:c r="J815" s="54" t="n">
        <x:f>I815-H815</x:f>
        <x:v>0</x:v>
      </x:c>
      <x:c r="K815" s="51" t="str">
        <x:v>Материал</x:v>
      </x:c>
      <x:c r="L815" s="51" t="str">
        <x:f>IF(J815=0,"OK","Шалгах")</x:f>
        <x:v>OK</x:v>
      </x:c>
      <x:c r="M815" s="51" t="str">
        <x:v>Холбоо</x:v>
      </x:c>
      <x:c r="N815" s="51" t="n">
        <x:v>16</x:v>
      </x:c>
    </x:row>
    <x:row r="816">
      <x:c r="A816" s="51" t="str">
        <x:v>MAT-6R-0802</x:v>
      </x:c>
      <x:c r="B816" s="52" t="str">
        <x:v>Хоолой хаялт утас сүвэлгээ</x:v>
      </x:c>
      <x:c r="C816" s="52" t="str">
        <x:v>Rack 32 unit</x:v>
      </x:c>
      <x:c r="D816" s="52" t="str"/>
      <x:c r="E816" s="52" t="str">
        <x:v>ш</x:v>
      </x:c>
      <x:c r="F816" s="53" t="n">
        <x:v>1</x:v>
      </x:c>
      <x:c r="G816" s="54" t="n">
        <x:v>350000</x:v>
      </x:c>
      <x:c r="H816" s="54" t="n">
        <x:v>350000</x:v>
      </x:c>
      <x:c r="I816" s="54" t="n">
        <x:f>IF(AND(ISNUMBER(F816),ISNUMBER(G816)),ROUND(F816*G816,0),H816)</x:f>
        <x:v>350000</x:v>
      </x:c>
      <x:c r="J816" s="54" t="n">
        <x:f>I816-H816</x:f>
        <x:v>0</x:v>
      </x:c>
      <x:c r="K816" s="51" t="str">
        <x:v>Материал</x:v>
      </x:c>
      <x:c r="L816" s="51" t="str">
        <x:f>IF(J816=0,"OK","Шалгах")</x:f>
        <x:v>OK</x:v>
      </x:c>
      <x:c r="M816" s="51" t="str">
        <x:v>Холбоо</x:v>
      </x:c>
      <x:c r="N816" s="51" t="n">
        <x:v>17</x:v>
      </x:c>
    </x:row>
    <x:row r="817">
      <x:c r="A817" s="51" t="str">
        <x:v>MAT-6R-0803</x:v>
      </x:c>
      <x:c r="B817" s="52" t="str">
        <x:v>Хоолой хаялт утас сүвэлгээ</x:v>
      </x:c>
      <x:c r="C817" s="52" t="str">
        <x:v>Нөөц тэжээлийн үүсгүүр UPS 2 kBТ</x:v>
      </x:c>
      <x:c r="D817" s="52" t="str"/>
      <x:c r="E817" s="52" t="str">
        <x:v>ш</x:v>
      </x:c>
      <x:c r="F817" s="53" t="n">
        <x:v>1</x:v>
      </x:c>
      <x:c r="G817" s="54" t="n">
        <x:v>450000</x:v>
      </x:c>
      <x:c r="H817" s="54" t="n">
        <x:v>450000</x:v>
      </x:c>
      <x:c r="I817" s="54" t="n">
        <x:f>IF(AND(ISNUMBER(F817),ISNUMBER(G817)),ROUND(F817*G817,0),H817)</x:f>
        <x:v>450000</x:v>
      </x:c>
      <x:c r="J817" s="54" t="n">
        <x:f>I817-H817</x:f>
        <x:v>0</x:v>
      </x:c>
      <x:c r="K817" s="51" t="str">
        <x:v>Материал</x:v>
      </x:c>
      <x:c r="L817" s="51" t="str">
        <x:f>IF(J817=0,"OK","Шалгах")</x:f>
        <x:v>OK</x:v>
      </x:c>
      <x:c r="M817" s="51" t="str">
        <x:v>Холбоо</x:v>
      </x:c>
      <x:c r="N817" s="51" t="n">
        <x:v>18</x:v>
      </x:c>
    </x:row>
    <x:row r="818">
      <x:c r="A818" s="51" t="str">
        <x:v>MAT-6R-0804</x:v>
      </x:c>
      <x:c r="B818" s="52" t="str">
        <x:v>Хоолой хаялт утас сүвэлгээ</x:v>
      </x:c>
      <x:c r="C818" s="52" t="str">
        <x:v>Рак доторх тоноглол /олон залгуур</x:v>
      </x:c>
      <x:c r="D818" s="52" t="str"/>
      <x:c r="E818" s="52" t="str">
        <x:v>ш</x:v>
      </x:c>
      <x:c r="F818" s="53" t="n">
        <x:v>2</x:v>
      </x:c>
      <x:c r="G818" s="54" t="n">
        <x:v>15000</x:v>
      </x:c>
      <x:c r="H818" s="54" t="n">
        <x:v>30000</x:v>
      </x:c>
      <x:c r="I818" s="54" t="n">
        <x:f>IF(AND(ISNUMBER(F818),ISNUMBER(G818)),ROUND(F818*G818,0),H818)</x:f>
        <x:v>30000</x:v>
      </x:c>
      <x:c r="J818" s="54" t="n">
        <x:f>I818-H818</x:f>
        <x:v>0</x:v>
      </x:c>
      <x:c r="K818" s="51" t="str">
        <x:v>Материал</x:v>
      </x:c>
      <x:c r="L818" s="51" t="str">
        <x:f>IF(J818=0,"OK","Шалгах")</x:f>
        <x:v>OK</x:v>
      </x:c>
      <x:c r="M818" s="51" t="str">
        <x:v>Холбоо</x:v>
      </x:c>
      <x:c r="N818" s="51" t="n">
        <x:v>19</x:v>
      </x:c>
    </x:row>
    <x:row r="819">
      <x:c r="A819" s="51" t="str">
        <x:v>MAT-6R-0805</x:v>
      </x:c>
      <x:c r="B819" s="52" t="str">
        <x:v>Хоолой хаялт утас сүвэлгээ</x:v>
      </x:c>
      <x:c r="C819" s="52" t="str">
        <x:v>Рак доторх тоноглол /сэнс</x:v>
      </x:c>
      <x:c r="D819" s="52" t="str"/>
      <x:c r="E819" s="52" t="str">
        <x:v>ш</x:v>
      </x:c>
      <x:c r="F819" s="53" t="n">
        <x:v>2</x:v>
      </x:c>
      <x:c r="G819" s="54" t="n">
        <x:v>15000</x:v>
      </x:c>
      <x:c r="H819" s="54" t="n">
        <x:v>30000</x:v>
      </x:c>
      <x:c r="I819" s="54" t="n">
        <x:f>IF(AND(ISNUMBER(F819),ISNUMBER(G819)),ROUND(F819*G819,0),H819)</x:f>
        <x:v>30000</x:v>
      </x:c>
      <x:c r="J819" s="54" t="n">
        <x:f>I819-H819</x:f>
        <x:v>0</x:v>
      </x:c>
      <x:c r="K819" s="51" t="str">
        <x:v>Материал</x:v>
      </x:c>
      <x:c r="L819" s="51" t="str">
        <x:f>IF(J819=0,"OK","Шалгах")</x:f>
        <x:v>OK</x:v>
      </x:c>
      <x:c r="M819" s="51" t="str">
        <x:v>Холбоо</x:v>
      </x:c>
      <x:c r="N819" s="51" t="n">
        <x:v>20</x:v>
      </x:c>
    </x:row>
    <x:row r="820">
      <x:c r="A820" s="51" t="str">
        <x:v>MAT-6R-0806</x:v>
      </x:c>
      <x:c r="B820" s="52" t="str">
        <x:v>Хоолой хаялт утас сүвэлгээ</x:v>
      </x:c>
      <x:c r="C820" s="52" t="str">
        <x:v>CAT6 patch panel 24 оролттой</x:v>
      </x:c>
      <x:c r="D820" s="52" t="str"/>
      <x:c r="E820" s="52" t="str">
        <x:v>ш</x:v>
      </x:c>
      <x:c r="F820" s="53" t="n">
        <x:v>2</x:v>
      </x:c>
      <x:c r="G820" s="54"/>
      <x:c r="H820" s="54" t="n">
        <x:v>0</x:v>
      </x:c>
      <x:c r="I820" s="54" t="n">
        <x:f>IF(AND(ISNUMBER(F820),ISNUMBER(G820)),ROUND(F820*G820,0),H820)</x:f>
        <x:v>0</x:v>
      </x:c>
      <x:c r="J820" s="54" t="n">
        <x:f>I820-H820</x:f>
        <x:v>0</x:v>
      </x:c>
      <x:c r="K820" s="51" t="str">
        <x:v>Материал</x:v>
      </x:c>
      <x:c r="L820" s="51" t="str">
        <x:f>IF(J820=0,"OK","Шалгах")</x:f>
        <x:v>OK</x:v>
      </x:c>
      <x:c r="M820" s="51" t="str">
        <x:v>Холбоо</x:v>
      </x:c>
      <x:c r="N820" s="51" t="n">
        <x:v>21</x:v>
      </x:c>
    </x:row>
    <x:row r="821">
      <x:c r="A821" s="51" t="str">
        <x:v>MAT-6R-0807</x:v>
      </x:c>
      <x:c r="B821" s="52" t="str">
        <x:v>Хоолой хаялт утас сүвэлгээ</x:v>
      </x:c>
      <x:c r="C821" s="52" t="str">
        <x:v>cabel manager /кабель далдлагч</x:v>
      </x:c>
      <x:c r="D821" s="52" t="str"/>
      <x:c r="E821" s="52" t="str">
        <x:v>ш</x:v>
      </x:c>
      <x:c r="F821" s="53" t="n">
        <x:v>2</x:v>
      </x:c>
      <x:c r="G821" s="54"/>
      <x:c r="H821" s="54" t="n">
        <x:v>0</x:v>
      </x:c>
      <x:c r="I821" s="54" t="n">
        <x:f>IF(AND(ISNUMBER(F821),ISNUMBER(G821)),ROUND(F821*G821,0),H821)</x:f>
        <x:v>0</x:v>
      </x:c>
      <x:c r="J821" s="54" t="n">
        <x:f>I821-H821</x:f>
        <x:v>0</x:v>
      </x:c>
      <x:c r="K821" s="51" t="str">
        <x:v>Материал</x:v>
      </x:c>
      <x:c r="L821" s="51" t="str">
        <x:f>IF(J821=0,"OK","Шалгах")</x:f>
        <x:v>OK</x:v>
      </x:c>
      <x:c r="M821" s="51" t="str">
        <x:v>Холбоо</x:v>
      </x:c>
      <x:c r="N821" s="51" t="n">
        <x:v>22</x:v>
      </x:c>
    </x:row>
    <x:row r="822">
      <x:c r="A822" s="51" t="str">
        <x:v>MAT-6R-0808</x:v>
      </x:c>
      <x:c r="B822" s="52" t="str">
        <x:v>Хоолой хаялт утас сүвэлгээ</x:v>
      </x:c>
      <x:c r="C822" s="52" t="str">
        <x:v>UTP CAT6 patch cord 0.5m-н зориулалтын холбогч кабель</x:v>
      </x:c>
      <x:c r="D822" s="52" t="str"/>
      <x:c r="E822" s="52" t="str">
        <x:v>ш</x:v>
      </x:c>
      <x:c r="F822" s="53" t="n">
        <x:v>5</x:v>
      </x:c>
      <x:c r="G822" s="54" t="n">
        <x:v>2500</x:v>
      </x:c>
      <x:c r="H822" s="54" t="n">
        <x:v>12500</x:v>
      </x:c>
      <x:c r="I822" s="54" t="n">
        <x:f>IF(AND(ISNUMBER(F822),ISNUMBER(G822)),ROUND(F822*G822,0),H822)</x:f>
        <x:v>12500</x:v>
      </x:c>
      <x:c r="J822" s="54" t="n">
        <x:f>I822-H822</x:f>
        <x:v>0</x:v>
      </x:c>
      <x:c r="K822" s="51" t="str">
        <x:v>Материал</x:v>
      </x:c>
      <x:c r="L822" s="51" t="str">
        <x:f>IF(J822=0,"OK","Шалгах")</x:f>
        <x:v>OK</x:v>
      </x:c>
      <x:c r="M822" s="51" t="str">
        <x:v>Холбоо</x:v>
      </x:c>
      <x:c r="N822" s="51" t="n">
        <x:v>23</x:v>
      </x:c>
    </x:row>
    <x:row r="823">
      <x:c r="A823" s="51" t="str">
        <x:v>MAT-6R-0809</x:v>
      </x:c>
      <x:c r="B823" s="52" t="str">
        <x:v>Тоноглол суулгах</x:v>
      </x:c>
      <x:c r="C823" s="52" t="str">
        <x:v>телефон (айлд)</x:v>
      </x:c>
      <x:c r="D823" s="52" t="str"/>
      <x:c r="E823" s="52" t="str">
        <x:v>ш</x:v>
      </x:c>
      <x:c r="F823" s="53" t="n">
        <x:v>283</x:v>
      </x:c>
      <x:c r="G823" s="54" t="n">
        <x:v>7000</x:v>
      </x:c>
      <x:c r="H823" s="54" t="n">
        <x:v>1981000</x:v>
      </x:c>
      <x:c r="I823" s="54" t="n">
        <x:f>IF(AND(ISNUMBER(F823),ISNUMBER(G823)),ROUND(F823*G823,0),H823)</x:f>
        <x:v>1981000</x:v>
      </x:c>
      <x:c r="J823" s="54" t="n">
        <x:f>I823-H823</x:f>
        <x:v>0</x:v>
      </x:c>
      <x:c r="K823" s="51" t="str">
        <x:v>Материал</x:v>
      </x:c>
      <x:c r="L823" s="51" t="str">
        <x:f>IF(J823=0,"OK","Шалгах")</x:f>
        <x:v>OK</x:v>
      </x:c>
      <x:c r="M823" s="51" t="str">
        <x:v>Холбоо</x:v>
      </x:c>
      <x:c r="N823" s="51" t="n">
        <x:v>25</x:v>
      </x:c>
    </x:row>
    <x:row r="824">
      <x:c r="A824" s="51" t="str">
        <x:v>MAT-6R-0810</x:v>
      </x:c>
      <x:c r="B824" s="52" t="str">
        <x:v>Тоноглол суулгах</x:v>
      </x:c>
      <x:c r="C824" s="52" t="str">
        <x:v>Тв (айлд)</x:v>
      </x:c>
      <x:c r="D824" s="52" t="str"/>
      <x:c r="E824" s="52" t="str">
        <x:v>ш</x:v>
      </x:c>
      <x:c r="F824" s="53" t="n">
        <x:v>277</x:v>
      </x:c>
      <x:c r="G824" s="54" t="n">
        <x:v>7000</x:v>
      </x:c>
      <x:c r="H824" s="54" t="n">
        <x:v>1939000</x:v>
      </x:c>
      <x:c r="I824" s="54" t="n">
        <x:f>IF(AND(ISNUMBER(F824),ISNUMBER(G824)),ROUND(F824*G824,0),H824)</x:f>
        <x:v>1939000</x:v>
      </x:c>
      <x:c r="J824" s="54" t="n">
        <x:f>I824-H824</x:f>
        <x:v>0</x:v>
      </x:c>
      <x:c r="K824" s="51" t="str">
        <x:v>Материал</x:v>
      </x:c>
      <x:c r="L824" s="51" t="str">
        <x:f>IF(J824=0,"OK","Шалгах")</x:f>
        <x:v>OK</x:v>
      </x:c>
      <x:c r="M824" s="51" t="str">
        <x:v>Холбоо</x:v>
      </x:c>
      <x:c r="N824" s="51" t="n">
        <x:v>26</x:v>
      </x:c>
    </x:row>
    <x:row r="825">
      <x:c r="A825" s="51" t="str">
        <x:v>MAT-6R-0811</x:v>
      </x:c>
      <x:c r="B825" s="52" t="str">
        <x:v>Тоноглол суулгах</x:v>
      </x:c>
      <x:c r="C825" s="52" t="str">
        <x:v>Интернет (айлд)</x:v>
      </x:c>
      <x:c r="D825" s="52" t="str"/>
      <x:c r="E825" s="52" t="str">
        <x:v>ш</x:v>
      </x:c>
      <x:c r="F825" s="53" t="n">
        <x:v>283</x:v>
      </x:c>
      <x:c r="G825" s="54" t="n">
        <x:v>7000</x:v>
      </x:c>
      <x:c r="H825" s="54" t="n">
        <x:v>1981000</x:v>
      </x:c>
      <x:c r="I825" s="54" t="n">
        <x:f>IF(AND(ISNUMBER(F825),ISNUMBER(G825)),ROUND(F825*G825,0),H825)</x:f>
        <x:v>1981000</x:v>
      </x:c>
      <x:c r="J825" s="54" t="n">
        <x:f>I825-H825</x:f>
        <x:v>0</x:v>
      </x:c>
      <x:c r="K825" s="51" t="str">
        <x:v>Материал</x:v>
      </x:c>
      <x:c r="L825" s="51" t="str">
        <x:f>IF(J825=0,"OK","Шалгах")</x:f>
        <x:v>OK</x:v>
      </x:c>
      <x:c r="M825" s="51" t="str">
        <x:v>Холбоо</x:v>
      </x:c>
      <x:c r="N825" s="51" t="n">
        <x:v>27</x:v>
      </x:c>
    </x:row>
    <x:row r="826">
      <x:c r="A826" s="51" t="str">
        <x:v>MAT-6R-0812</x:v>
      </x:c>
      <x:c r="B826" s="52" t="str">
        <x:v>Тоноглол суулгах</x:v>
      </x:c>
      <x:c r="C826" s="52" t="str">
        <x:v>Айлын Холбооны самбар 300*200*110</x:v>
      </x:c>
      <x:c r="D826" s="52" t="str"/>
      <x:c r="E826" s="52" t="str">
        <x:v>ш</x:v>
      </x:c>
      <x:c r="F826" s="53" t="n">
        <x:v>123</x:v>
      </x:c>
      <x:c r="G826" s="54"/>
      <x:c r="H826" s="54" t="n">
        <x:v>0</x:v>
      </x:c>
      <x:c r="I826" s="54" t="n">
        <x:f>IF(AND(ISNUMBER(F826),ISNUMBER(G826)),ROUND(F826*G826,0),H826)</x:f>
        <x:v>0</x:v>
      </x:c>
      <x:c r="J826" s="54" t="n">
        <x:f>I826-H826</x:f>
        <x:v>0</x:v>
      </x:c>
      <x:c r="K826" s="51" t="str">
        <x:v>Материал</x:v>
      </x:c>
      <x:c r="L826" s="51" t="str">
        <x:f>IF(J826=0,"OK","Шалгах")</x:f>
        <x:v>OK</x:v>
      </x:c>
      <x:c r="M826" s="51" t="str">
        <x:v>Холбоо</x:v>
      </x:c>
      <x:c r="N826" s="51" t="n">
        <x:v>28</x:v>
      </x:c>
    </x:row>
    <x:row r="827">
      <x:c r="A827" s="51" t="str">
        <x:v>MAT-6R-0813</x:v>
      </x:c>
      <x:c r="B827" s="52" t="str">
        <x:v>Тоноглол суулгах</x:v>
      </x:c>
      <x:c r="C827" s="52" t="str">
        <x:v>Давхрын холбооны самбар</x:v>
      </x:c>
      <x:c r="D827" s="52" t="str"/>
      <x:c r="E827" s="52" t="str">
        <x:v>ш</x:v>
      </x:c>
      <x:c r="F827" s="53" t="n">
        <x:v>16</x:v>
      </x:c>
      <x:c r="G827" s="54" t="n">
        <x:v>180000</x:v>
      </x:c>
      <x:c r="H827" s="54" t="n">
        <x:v>2880000</x:v>
      </x:c>
      <x:c r="I827" s="54" t="n">
        <x:f>IF(AND(ISNUMBER(F827),ISNUMBER(G827)),ROUND(F827*G827,0),H827)</x:f>
        <x:v>2880000</x:v>
      </x:c>
      <x:c r="J827" s="54" t="n">
        <x:f>I827-H827</x:f>
        <x:v>0</x:v>
      </x:c>
      <x:c r="K827" s="51" t="str">
        <x:v>Материал</x:v>
      </x:c>
      <x:c r="L827" s="51" t="str">
        <x:f>IF(J827=0,"OK","Шалгах")</x:f>
        <x:v>OK</x:v>
      </x:c>
      <x:c r="M827" s="51" t="str">
        <x:v>Холбоо</x:v>
      </x:c>
      <x:c r="N827" s="51" t="n">
        <x:v>29</x:v>
      </x:c>
    </x:row>
    <x:row r="828">
      <x:c r="A828" s="51" t="str">
        <x:v>MAT-6R-0814</x:v>
      </x:c>
      <x:c r="B828" s="52" t="str">
        <x:v>Тоноглол суулгах</x:v>
      </x:c>
      <x:c r="C828" s="52" t="str">
        <x:v>Галын дохиоллын станц -20 хүртэлх дэд станц холбох</x:v>
      </x:c>
      <x:c r="D828" s="52" t="str"/>
      <x:c r="E828" s="52" t="str">
        <x:v>ш</x:v>
      </x:c>
      <x:c r="F828" s="53" t="n">
        <x:v>1</x:v>
      </x:c>
      <x:c r="G828" s="54" t="n">
        <x:v>3400000</x:v>
      </x:c>
      <x:c r="H828" s="54" t="n">
        <x:v>3400000</x:v>
      </x:c>
      <x:c r="I828" s="54" t="n">
        <x:f>IF(AND(ISNUMBER(F828),ISNUMBER(G828)),ROUND(F828*G828,0),H828)</x:f>
        <x:v>3400000</x:v>
      </x:c>
      <x:c r="J828" s="54" t="n">
        <x:f>I828-H828</x:f>
        <x:v>0</x:v>
      </x:c>
      <x:c r="K828" s="51" t="str">
        <x:v>Материал</x:v>
      </x:c>
      <x:c r="L828" s="51" t="str">
        <x:f>IF(J828=0,"OK","Шалгах")</x:f>
        <x:v>OK</x:v>
      </x:c>
      <x:c r="M828" s="51" t="str">
        <x:v>Холбоо</x:v>
      </x:c>
      <x:c r="N828" s="51" t="n">
        <x:v>30</x:v>
      </x:c>
    </x:row>
    <x:row r="829">
      <x:c r="A829" s="51" t="str">
        <x:v>MAT-6R-0815</x:v>
      </x:c>
      <x:c r="B829" s="52" t="str">
        <x:v>Тоноглол суулгах</x:v>
      </x:c>
      <x:c r="C829" s="52" t="str">
        <x:v>Тэжээлийн блок -аккумляторын хамт</x:v>
      </x:c>
      <x:c r="D829" s="52" t="str"/>
      <x:c r="E829" s="52" t="str">
        <x:v>ш</x:v>
      </x:c>
      <x:c r="F829" s="53" t="n">
        <x:v>10</x:v>
      </x:c>
      <x:c r="G829" s="54" t="n">
        <x:v>178250</x:v>
      </x:c>
      <x:c r="H829" s="54" t="n">
        <x:v>1782500</x:v>
      </x:c>
      <x:c r="I829" s="54" t="n">
        <x:f>IF(AND(ISNUMBER(F829),ISNUMBER(G829)),ROUND(F829*G829,0),H829)</x:f>
        <x:v>1782500</x:v>
      </x:c>
      <x:c r="J829" s="54" t="n">
        <x:f>I829-H829</x:f>
        <x:v>0</x:v>
      </x:c>
      <x:c r="K829" s="51" t="str">
        <x:v>Материал</x:v>
      </x:c>
      <x:c r="L829" s="51" t="str">
        <x:f>IF(J829=0,"OK","Шалгах")</x:f>
        <x:v>OK</x:v>
      </x:c>
      <x:c r="M829" s="51" t="str">
        <x:v>Холбоо</x:v>
      </x:c>
      <x:c r="N829" s="51" t="n">
        <x:v>31</x:v>
      </x:c>
    </x:row>
    <x:row r="830">
      <x:c r="A830" s="51" t="str">
        <x:v>MAT-6R-0816</x:v>
      </x:c>
      <x:c r="B830" s="52" t="str">
        <x:v>Тоноглол суулгах</x:v>
      </x:c>
      <x:c r="C830" s="52" t="str">
        <x:v>Галын дохиоллындэд станц 20 хүртэл бүс</x:v>
      </x:c>
      <x:c r="D830" s="52" t="str"/>
      <x:c r="E830" s="52" t="str">
        <x:v>ш</x:v>
      </x:c>
      <x:c r="F830" s="53" t="n">
        <x:v>9</x:v>
      </x:c>
      <x:c r="G830" s="54" t="n">
        <x:v>23000</x:v>
      </x:c>
      <x:c r="H830" s="54" t="n">
        <x:v>207000</x:v>
      </x:c>
      <x:c r="I830" s="54" t="n">
        <x:f>IF(AND(ISNUMBER(F830),ISNUMBER(G830)),ROUND(F830*G830,0),H830)</x:f>
        <x:v>207000</x:v>
      </x:c>
      <x:c r="J830" s="54" t="n">
        <x:f>I830-H830</x:f>
        <x:v>0</x:v>
      </x:c>
      <x:c r="K830" s="51" t="str">
        <x:v>Материал</x:v>
      </x:c>
      <x:c r="L830" s="51" t="str">
        <x:f>IF(J830=0,"OK","Шалгах")</x:f>
        <x:v>OK</x:v>
      </x:c>
      <x:c r="M830" s="51" t="str">
        <x:v>Холбоо</x:v>
      </x:c>
      <x:c r="N830" s="51" t="n">
        <x:v>32</x:v>
      </x:c>
    </x:row>
    <x:row r="831">
      <x:c r="A831" s="51" t="str">
        <x:v>MAT-6R-0817</x:v>
      </x:c>
      <x:c r="B831" s="52" t="str">
        <x:v>Тоноглол суулгах</x:v>
      </x:c>
      <x:c r="C831" s="52" t="str">
        <x:v>Гал утааны оптик электрон мэдрэгчтэй хаягтай мэдээлэгч i=100mkA, Rx-1.1k0m</x:v>
      </x:c>
      <x:c r="D831" s="52" t="str"/>
      <x:c r="E831" s="52" t="str">
        <x:v>ш</x:v>
      </x:c>
      <x:c r="F831" s="53" t="n">
        <x:v>461</x:v>
      </x:c>
      <x:c r="G831" s="54" t="n">
        <x:v>65000</x:v>
      </x:c>
      <x:c r="H831" s="54" t="n">
        <x:v>29965000</x:v>
      </x:c>
      <x:c r="I831" s="54" t="n">
        <x:f>IF(AND(ISNUMBER(F831),ISNUMBER(G831)),ROUND(F831*G831,0),H831)</x:f>
        <x:v>29965000</x:v>
      </x:c>
      <x:c r="J831" s="54" t="n">
        <x:f>I831-H831</x:f>
        <x:v>0</x:v>
      </x:c>
      <x:c r="K831" s="51" t="str">
        <x:v>Материал</x:v>
      </x:c>
      <x:c r="L831" s="51" t="str">
        <x:f>IF(J831=0,"OK","Шалгах")</x:f>
        <x:v>OK</x:v>
      </x:c>
      <x:c r="M831" s="51" t="str">
        <x:v>Холбоо</x:v>
      </x:c>
      <x:c r="N831" s="51" t="n">
        <x:v>33</x:v>
      </x:c>
    </x:row>
    <x:row r="832">
      <x:c r="A832" s="51" t="str">
        <x:v>MAT-6R-0818</x:v>
      </x:c>
      <x:c r="B832" s="52" t="str">
        <x:v>Тоноглол суулгах</x:v>
      </x:c>
      <x:c r="C832" s="52" t="str">
        <x:v>Гал дулааны оптик электрон мэдрэгчтэй хаягтай мэдээлэгч t=65oC дулаан, Rx-1.1k0m</x:v>
      </x:c>
      <x:c r="D832" s="52" t="str"/>
      <x:c r="E832" s="52" t="str">
        <x:v>ш</x:v>
      </x:c>
      <x:c r="F832" s="53" t="n">
        <x:v>161</x:v>
      </x:c>
      <x:c r="G832" s="54" t="n">
        <x:v>65000</x:v>
      </x:c>
      <x:c r="H832" s="54" t="n">
        <x:v>10465000</x:v>
      </x:c>
      <x:c r="I832" s="54" t="n">
        <x:f>IF(AND(ISNUMBER(F832),ISNUMBER(G832)),ROUND(F832*G832,0),H832)</x:f>
        <x:v>10465000</x:v>
      </x:c>
      <x:c r="J832" s="54" t="n">
        <x:f>I832-H832</x:f>
        <x:v>0</x:v>
      </x:c>
      <x:c r="K832" s="51" t="str">
        <x:v>Материал</x:v>
      </x:c>
      <x:c r="L832" s="51" t="str">
        <x:f>IF(J832=0,"OK","Шалгах")</x:f>
        <x:v>OK</x:v>
      </x:c>
      <x:c r="M832" s="51" t="str">
        <x:v>Холбоо</x:v>
      </x:c>
      <x:c r="N832" s="51" t="n">
        <x:v>34</x:v>
      </x:c>
    </x:row>
    <x:row r="833">
      <x:c r="A833" s="51" t="str">
        <x:v>MAT-6R-0819</x:v>
      </x:c>
      <x:c r="B833" s="52" t="str">
        <x:v>Тоноглол суулгах</x:v>
      </x:c>
      <x:c r="C833" s="52" t="str">
        <x:v>Гар ажиллагаатай галын мэдээлэгч</x:v>
      </x:c>
      <x:c r="D833" s="52" t="str"/>
      <x:c r="E833" s="52" t="str">
        <x:v>ш</x:v>
      </x:c>
      <x:c r="F833" s="53" t="n">
        <x:v>19</x:v>
      </x:c>
      <x:c r="G833" s="54" t="n">
        <x:v>140000</x:v>
      </x:c>
      <x:c r="H833" s="54" t="n">
        <x:v>2660000</x:v>
      </x:c>
      <x:c r="I833" s="54" t="n">
        <x:f>IF(AND(ISNUMBER(F833),ISNUMBER(G833)),ROUND(F833*G833,0),H833)</x:f>
        <x:v>2660000</x:v>
      </x:c>
      <x:c r="J833" s="54" t="n">
        <x:f>I833-H833</x:f>
        <x:v>0</x:v>
      </x:c>
      <x:c r="K833" s="51" t="str">
        <x:v>Материал</x:v>
      </x:c>
      <x:c r="L833" s="51" t="str">
        <x:f>IF(J833=0,"OK","Шалгах")</x:f>
        <x:v>OK</x:v>
      </x:c>
      <x:c r="M833" s="51" t="str">
        <x:v>Холбоо</x:v>
      </x:c>
      <x:c r="N833" s="51" t="n">
        <x:v>35</x:v>
      </x:c>
    </x:row>
    <x:row r="834">
      <x:c r="A834" s="51" t="str">
        <x:v>MAT-6R-0820</x:v>
      </x:c>
      <x:c r="B834" s="52" t="str">
        <x:v>Тоноглол суулгах</x:v>
      </x:c>
      <x:c r="C834" s="52" t="str">
        <x:v>Ослын дуут дохио</x:v>
      </x:c>
      <x:c r="D834" s="52" t="str"/>
      <x:c r="E834" s="52" t="str">
        <x:v>ш</x:v>
      </x:c>
      <x:c r="F834" s="53" t="n">
        <x:v>19</x:v>
      </x:c>
      <x:c r="G834" s="54" t="n">
        <x:v>160000</x:v>
      </x:c>
      <x:c r="H834" s="54" t="n">
        <x:v>3040000</x:v>
      </x:c>
      <x:c r="I834" s="54" t="n">
        <x:f>IF(AND(ISNUMBER(F834),ISNUMBER(G834)),ROUND(F834*G834,0),H834)</x:f>
        <x:v>3040000</x:v>
      </x:c>
      <x:c r="J834" s="54" t="n">
        <x:f>I834-H834</x:f>
        <x:v>0</x:v>
      </x:c>
      <x:c r="K834" s="51" t="str">
        <x:v>Материал</x:v>
      </x:c>
      <x:c r="L834" s="51" t="str">
        <x:f>IF(J834=0,"OK","Шалгах")</x:f>
        <x:v>OK</x:v>
      </x:c>
      <x:c r="M834" s="51" t="str">
        <x:v>Холбоо</x:v>
      </x:c>
      <x:c r="N834" s="51" t="n">
        <x:v>36</x:v>
      </x:c>
    </x:row>
    <x:row r="835">
      <x:c r="A835" s="51" t="str">
        <x:v>MAT-6R-0821</x:v>
      </x:c>
      <x:c r="B835" s="52" t="str">
        <x:v>Тоноглол суулгах</x:v>
      </x:c>
      <x:c r="C835" s="52" t="str">
        <x:v>Зэс дамжуулагчтай полиэтилен тусгаарлагчтай полиэтилен бүрхүүлтэй 2 судастай утас FRLS1x2</x:v>
      </x:c>
      <x:c r="D835" s="52" t="str"/>
      <x:c r="E835" s="52" t="str">
        <x:v>м</x:v>
      </x:c>
      <x:c r="F835" s="53" t="n">
        <x:v>3500</x:v>
      </x:c>
      <x:c r="G835" s="54" t="n">
        <x:v>2200</x:v>
      </x:c>
      <x:c r="H835" s="54" t="n">
        <x:v>7700000</x:v>
      </x:c>
      <x:c r="I835" s="54" t="n">
        <x:f>IF(AND(ISNUMBER(F835),ISNUMBER(G835)),ROUND(F835*G835,0),H835)</x:f>
        <x:v>7700000</x:v>
      </x:c>
      <x:c r="J835" s="54" t="n">
        <x:f>I835-H835</x:f>
        <x:v>0</x:v>
      </x:c>
      <x:c r="K835" s="51" t="str">
        <x:v>Материал</x:v>
      </x:c>
      <x:c r="L835" s="51" t="str">
        <x:f>IF(J835=0,"OK","Шалгах")</x:f>
        <x:v>OK</x:v>
      </x:c>
      <x:c r="M835" s="51" t="str">
        <x:v>Холбоо</x:v>
      </x:c>
      <x:c r="N835" s="51" t="n">
        <x:v>37</x:v>
      </x:c>
    </x:row>
    <x:row r="836">
      <x:c r="A836" s="51" t="str">
        <x:v>MAT-6R-0822</x:v>
      </x:c>
      <x:c r="B836" s="52" t="str">
        <x:v>Тоноглол суулгах</x:v>
      </x:c>
      <x:c r="C836" s="52" t="str">
        <x:v>Уян пластмассан хоолой CD22</x:v>
      </x:c>
      <x:c r="D836" s="52" t="str"/>
      <x:c r="E836" s="52" t="str">
        <x:v>м</x:v>
      </x:c>
      <x:c r="F836" s="53" t="n">
        <x:v>3500</x:v>
      </x:c>
      <x:c r="G836" s="54" t="n">
        <x:v>440</x:v>
      </x:c>
      <x:c r="H836" s="54" t="n">
        <x:v>1540000</x:v>
      </x:c>
      <x:c r="I836" s="54" t="n">
        <x:f>IF(AND(ISNUMBER(F836),ISNUMBER(G836)),ROUND(F836*G836,0),H836)</x:f>
        <x:v>1540000</x:v>
      </x:c>
      <x:c r="J836" s="54" t="n">
        <x:f>I836-H836</x:f>
        <x:v>0</x:v>
      </x:c>
      <x:c r="K836" s="51" t="str">
        <x:v>Материал</x:v>
      </x:c>
      <x:c r="L836" s="51" t="str">
        <x:f>IF(J836=0,"OK","Шалгах")</x:f>
        <x:v>OK</x:v>
      </x:c>
      <x:c r="M836" s="51" t="str">
        <x:v>Холбоо</x:v>
      </x:c>
      <x:c r="N836" s="51" t="n">
        <x:v>38</x:v>
      </x:c>
    </x:row>
    <x:row r="837">
      <x:c r="A837" s="51" t="str">
        <x:v>MAT-6R-0823</x:v>
      </x:c>
      <x:c r="B837" s="52" t="str">
        <x:v>Тоноглол суулгах</x:v>
      </x:c>
      <x:c r="C837" s="52" t="str">
        <x:v>Праграмчлах</x:v>
      </x:c>
      <x:c r="D837" s="52" t="str"/>
      <x:c r="E837" s="52" t="str">
        <x:v>ш</x:v>
      </x:c>
      <x:c r="F837" s="53" t="n">
        <x:v>1</x:v>
      </x:c>
      <x:c r="G837" s="54" t="n">
        <x:v>1500000</x:v>
      </x:c>
      <x:c r="H837" s="54" t="n">
        <x:v>1500000</x:v>
      </x:c>
      <x:c r="I837" s="54" t="n">
        <x:f>IF(AND(ISNUMBER(F837),ISNUMBER(G837)),ROUND(F837*G837,0),H837)</x:f>
        <x:v>1500000</x:v>
      </x:c>
      <x:c r="J837" s="54" t="n">
        <x:f>I837-H837</x:f>
        <x:v>0</x:v>
      </x:c>
      <x:c r="K837" s="51" t="str">
        <x:v>Материал</x:v>
      </x:c>
      <x:c r="L837" s="51" t="str">
        <x:f>IF(J837=0,"OK","Шалгах")</x:f>
        <x:v>OK</x:v>
      </x:c>
      <x:c r="M837" s="51" t="str">
        <x:v>Холбоо</x:v>
      </x:c>
      <x:c r="N837" s="51" t="n">
        <x:v>39</x:v>
      </x:c>
    </x:row>
    <x:row r="838">
      <x:c r="A838" s="51" t="str">
        <x:v>MAT-6R-0824</x:v>
      </x:c>
      <x:c r="B838" s="52" t="str">
        <x:v>Тоноглол суулгах</x:v>
      </x:c>
      <x:c r="C838" s="52" t="str">
        <x:v>Гэмтэл хязгаарлагч</x:v>
      </x:c>
      <x:c r="D838" s="52" t="str"/>
      <x:c r="E838" s="52" t="str">
        <x:v>ш</x:v>
      </x:c>
      <x:c r="F838" s="53" t="n">
        <x:v>17</x:v>
      </x:c>
      <x:c r="G838" s="54" t="n">
        <x:v>250000</x:v>
      </x:c>
      <x:c r="H838" s="54" t="n">
        <x:v>4250000</x:v>
      </x:c>
      <x:c r="I838" s="54" t="n">
        <x:f>IF(AND(ISNUMBER(F838),ISNUMBER(G838)),ROUND(F838*G838,0),H838)</x:f>
        <x:v>4250000</x:v>
      </x:c>
      <x:c r="J838" s="54" t="n">
        <x:f>I838-H838</x:f>
        <x:v>0</x:v>
      </x:c>
      <x:c r="K838" s="51" t="str">
        <x:v>Материал</x:v>
      </x:c>
      <x:c r="L838" s="51" t="str">
        <x:f>IF(J838=0,"OK","Шалгах")</x:f>
        <x:v>OK</x:v>
      </x:c>
      <x:c r="M838" s="51" t="str">
        <x:v>Холбоо</x:v>
      </x:c>
      <x:c r="N838" s="51" t="n">
        <x:v>40</x:v>
      </x:c>
    </x:row>
    <x:row r="839">
      <x:c r="A839" s="51" t="str">
        <x:v>MAT-6R-0825</x:v>
      </x:c>
      <x:c r="B839" s="52" t="str">
        <x:v>Камер угсралт</x:v>
      </x:c>
      <x:c r="C839" s="52" t="str">
        <x:v>NVR Hikvision 32port</x:v>
      </x:c>
      <x:c r="D839" s="52" t="str"/>
      <x:c r="E839" s="52" t="str">
        <x:v>ш</x:v>
      </x:c>
      <x:c r="F839" s="53" t="n">
        <x:v>1</x:v>
      </x:c>
      <x:c r="G839" s="54" t="n">
        <x:v>1200000</x:v>
      </x:c>
      <x:c r="H839" s="54" t="n">
        <x:v>1200000</x:v>
      </x:c>
      <x:c r="I839" s="54" t="n">
        <x:f>IF(AND(ISNUMBER(F839),ISNUMBER(G839)),ROUND(F839*G839,0),H839)</x:f>
        <x:v>1200000</x:v>
      </x:c>
      <x:c r="J839" s="54" t="n">
        <x:f>I839-H839</x:f>
        <x:v>0</x:v>
      </x:c>
      <x:c r="K839" s="51" t="str">
        <x:v>Материал</x:v>
      </x:c>
      <x:c r="L839" s="51" t="str">
        <x:f>IF(J839=0,"OK","Шалгах")</x:f>
        <x:v>OK</x:v>
      </x:c>
      <x:c r="M839" s="51" t="str">
        <x:v>Холбоо</x:v>
      </x:c>
      <x:c r="N839" s="51" t="n">
        <x:v>42</x:v>
      </x:c>
    </x:row>
    <x:row r="840">
      <x:c r="A840" s="51" t="str">
        <x:v>MAT-6R-0826</x:v>
      </x:c>
      <x:c r="B840" s="52" t="str">
        <x:v>Камер угсралт</x:v>
      </x:c>
      <x:c r="C840" s="52" t="str">
        <x:v>Switch PoE 16</x:v>
      </x:c>
      <x:c r="D840" s="52" t="str"/>
      <x:c r="E840" s="52" t="str">
        <x:v>ш</x:v>
      </x:c>
      <x:c r="F840" s="53" t="n">
        <x:v>2</x:v>
      </x:c>
      <x:c r="G840" s="54" t="n">
        <x:v>450000</x:v>
      </x:c>
      <x:c r="H840" s="54" t="n">
        <x:v>900000</x:v>
      </x:c>
      <x:c r="I840" s="54" t="n">
        <x:f>IF(AND(ISNUMBER(F840),ISNUMBER(G840)),ROUND(F840*G840,0),H840)</x:f>
        <x:v>900000</x:v>
      </x:c>
      <x:c r="J840" s="54" t="n">
        <x:f>I840-H840</x:f>
        <x:v>0</x:v>
      </x:c>
      <x:c r="K840" s="51" t="str">
        <x:v>Материал</x:v>
      </x:c>
      <x:c r="L840" s="51" t="str">
        <x:f>IF(J840=0,"OK","Шалгах")</x:f>
        <x:v>OK</x:v>
      </x:c>
      <x:c r="M840" s="51" t="str">
        <x:v>Холбоо</x:v>
      </x:c>
      <x:c r="N840" s="51" t="n">
        <x:v>43</x:v>
      </x:c>
    </x:row>
    <x:row r="841">
      <x:c r="A841" s="51" t="str">
        <x:v>MAT-6R-0827</x:v>
      </x:c>
      <x:c r="B841" s="52" t="str">
        <x:v>Камер угсралт</x:v>
      </x:c>
      <x:c r="C841" s="52" t="str">
        <x:v>5Switch PoE 5</x:v>
      </x:c>
      <x:c r="D841" s="52" t="str"/>
      <x:c r="E841" s="52" t="str">
        <x:v>ш</x:v>
      </x:c>
      <x:c r="F841" s="53" t="n">
        <x:v>1</x:v>
      </x:c>
      <x:c r="G841" s="54" t="n">
        <x:v>100000</x:v>
      </x:c>
      <x:c r="H841" s="54" t="n">
        <x:v>100000</x:v>
      </x:c>
      <x:c r="I841" s="54" t="n">
        <x:f>IF(AND(ISNUMBER(F841),ISNUMBER(G841)),ROUND(F841*G841,0),H841)</x:f>
        <x:v>100000</x:v>
      </x:c>
      <x:c r="J841" s="54" t="n">
        <x:f>I841-H841</x:f>
        <x:v>0</x:v>
      </x:c>
      <x:c r="K841" s="51" t="str">
        <x:v>Материал</x:v>
      </x:c>
      <x:c r="L841" s="51" t="str">
        <x:f>IF(J841=0,"OK","Шалгах")</x:f>
        <x:v>OK</x:v>
      </x:c>
      <x:c r="M841" s="51" t="str">
        <x:v>Холбоо</x:v>
      </x:c>
      <x:c r="N841" s="51" t="n">
        <x:v>44</x:v>
      </x:c>
    </x:row>
    <x:row r="842">
      <x:c r="A842" s="51" t="str">
        <x:v>MAT-6R-0828</x:v>
      </x:c>
      <x:c r="B842" s="52" t="str">
        <x:v>Камер угсралт</x:v>
      </x:c>
      <x:c r="C842" s="52" t="str">
        <x:v>Камер гадаа (IP) өдөр шөнийн хараатай 4Mpixel</x:v>
      </x:c>
      <x:c r="D842" s="52" t="str"/>
      <x:c r="E842" s="52" t="str">
        <x:v>ш</x:v>
      </x:c>
      <x:c r="F842" s="53" t="n">
        <x:v>26</x:v>
      </x:c>
      <x:c r="G842" s="54" t="n">
        <x:v>190000</x:v>
      </x:c>
      <x:c r="H842" s="54" t="n">
        <x:v>4940000</x:v>
      </x:c>
      <x:c r="I842" s="54" t="n">
        <x:f>IF(AND(ISNUMBER(F842),ISNUMBER(G842)),ROUND(F842*G842,0),H842)</x:f>
        <x:v>4940000</x:v>
      </x:c>
      <x:c r="J842" s="54" t="n">
        <x:f>I842-H842</x:f>
        <x:v>0</x:v>
      </x:c>
      <x:c r="K842" s="51" t="str">
        <x:v>Материал</x:v>
      </x:c>
      <x:c r="L842" s="51" t="str">
        <x:f>IF(J842=0,"OK","Шалгах")</x:f>
        <x:v>OK</x:v>
      </x:c>
      <x:c r="M842" s="51" t="str">
        <x:v>Холбоо</x:v>
      </x:c>
      <x:c r="N842" s="51" t="n">
        <x:v>45</x:v>
      </x:c>
    </x:row>
    <x:row r="843">
      <x:c r="A843" s="51" t="str">
        <x:v>MAT-6R-0829</x:v>
      </x:c>
      <x:c r="B843" s="52" t="str">
        <x:v>Камер угсралт</x:v>
      </x:c>
      <x:c r="C843" s="52" t="str">
        <x:v>Зэс дамжуулагчтай полиэтилен тусгаарлагчтай полиэтилен бүрхүүлтэй 8 судастай утас UTP Cat 6</x:v>
      </x:c>
      <x:c r="D843" s="52" t="str"/>
      <x:c r="E843" s="52" t="str">
        <x:v>м</x:v>
      </x:c>
      <x:c r="F843" s="53" t="n">
        <x:v>1500</x:v>
      </x:c>
      <x:c r="G843" s="54" t="n">
        <x:v>1250</x:v>
      </x:c>
      <x:c r="H843" s="54" t="n">
        <x:v>1875000</x:v>
      </x:c>
      <x:c r="I843" s="54" t="n">
        <x:f>IF(AND(ISNUMBER(F843),ISNUMBER(G843)),ROUND(F843*G843,0),H843)</x:f>
        <x:v>1875000</x:v>
      </x:c>
      <x:c r="J843" s="54" t="n">
        <x:f>I843-H843</x:f>
        <x:v>0</x:v>
      </x:c>
      <x:c r="K843" s="51" t="str">
        <x:v>Материал</x:v>
      </x:c>
      <x:c r="L843" s="51" t="str">
        <x:f>IF(J843=0,"OK","Шалгах")</x:f>
        <x:v>OK</x:v>
      </x:c>
      <x:c r="M843" s="51" t="str">
        <x:v>Холбоо</x:v>
      </x:c>
      <x:c r="N843" s="51" t="n">
        <x:v>46</x:v>
      </x:c>
    </x:row>
    <x:row r="844">
      <x:c r="A844" s="51" t="str">
        <x:v>MAT-6R-0830</x:v>
      </x:c>
      <x:c r="B844" s="52" t="str">
        <x:v>Камер угсралт</x:v>
      </x:c>
      <x:c r="C844" s="52" t="str">
        <x:v>Уян пластмассан хоолой CD22</x:v>
      </x:c>
      <x:c r="D844" s="52" t="str"/>
      <x:c r="E844" s="52" t="str">
        <x:v>м</x:v>
      </x:c>
      <x:c r="F844" s="53" t="n">
        <x:v>1500</x:v>
      </x:c>
      <x:c r="G844" s="54" t="n">
        <x:v>440</x:v>
      </x:c>
      <x:c r="H844" s="54" t="n">
        <x:v>660000</x:v>
      </x:c>
      <x:c r="I844" s="54" t="n">
        <x:f>IF(AND(ISNUMBER(F844),ISNUMBER(G844)),ROUND(F844*G844,0),H844)</x:f>
        <x:v>660000</x:v>
      </x:c>
      <x:c r="J844" s="54" t="n">
        <x:f>I844-H844</x:f>
        <x:v>0</x:v>
      </x:c>
      <x:c r="K844" s="51" t="str">
        <x:v>Материал</x:v>
      </x:c>
      <x:c r="L844" s="51" t="str">
        <x:f>IF(J844=0,"OK","Шалгах")</x:f>
        <x:v>OK</x:v>
      </x:c>
      <x:c r="M844" s="51" t="str">
        <x:v>Холбоо</x:v>
      </x:c>
      <x:c r="N844" s="51" t="n">
        <x:v>47</x:v>
      </x:c>
    </x:row>
    <x:row r="845">
      <x:c r="A845" s="51" t="str">
        <x:v>MAT-6R-0831</x:v>
      </x:c>
      <x:c r="B845" s="52" t="str">
        <x:v>Камер угсралт</x:v>
      </x:c>
      <x:c r="C845" s="52" t="str">
        <x:v>Хард диск 3ТВ</x:v>
      </x:c>
      <x:c r="D845" s="52" t="str"/>
      <x:c r="E845" s="52" t="str">
        <x:v>ш</x:v>
      </x:c>
      <x:c r="F845" s="53" t="n">
        <x:v>2</x:v>
      </x:c>
      <x:c r="G845" s="54" t="n">
        <x:v>230000</x:v>
      </x:c>
      <x:c r="H845" s="54" t="n">
        <x:v>460000</x:v>
      </x:c>
      <x:c r="I845" s="54" t="n">
        <x:f>IF(AND(ISNUMBER(F845),ISNUMBER(G845)),ROUND(F845*G845,0),H845)</x:f>
        <x:v>460000</x:v>
      </x:c>
      <x:c r="J845" s="54" t="n">
        <x:f>I845-H845</x:f>
        <x:v>0</x:v>
      </x:c>
      <x:c r="K845" s="51" t="str">
        <x:v>Материал</x:v>
      </x:c>
      <x:c r="L845" s="51" t="str">
        <x:f>IF(J845=0,"OK","Шалгах")</x:f>
        <x:v>OK</x:v>
      </x:c>
      <x:c r="M845" s="51" t="str">
        <x:v>Холбоо</x:v>
      </x:c>
      <x:c r="N845" s="51" t="n">
        <x:v>48</x:v>
      </x:c>
    </x:row>
    <x:row r="846">
      <x:c r="A846" s="51" t="str">
        <x:v>MAT-6R-0832</x:v>
      </x:c>
      <x:c r="B846" s="52" t="str">
        <x:v>Камер угсралт</x:v>
      </x:c>
      <x:c r="C846" s="52" t="str">
        <x:v>Хяналтын дэлгэц 42инч</x:v>
      </x:c>
      <x:c r="D846" s="52" t="str"/>
      <x:c r="E846" s="52" t="str">
        <x:v>ш</x:v>
      </x:c>
      <x:c r="F846" s="53" t="n">
        <x:v>1</x:v>
      </x:c>
      <x:c r="G846" s="54" t="n">
        <x:v>795000</x:v>
      </x:c>
      <x:c r="H846" s="54" t="n">
        <x:v>795000</x:v>
      </x:c>
      <x:c r="I846" s="54" t="n">
        <x:f>IF(AND(ISNUMBER(F846),ISNUMBER(G846)),ROUND(F846*G846,0),H846)</x:f>
        <x:v>795000</x:v>
      </x:c>
      <x:c r="J846" s="54" t="n">
        <x:f>I846-H846</x:f>
        <x:v>0</x:v>
      </x:c>
      <x:c r="K846" s="51" t="str">
        <x:v>Материал</x:v>
      </x:c>
      <x:c r="L846" s="51" t="str">
        <x:f>IF(J846=0,"OK","Шалгах")</x:f>
        <x:v>OK</x:v>
      </x:c>
      <x:c r="M846" s="51" t="str">
        <x:v>Холбоо</x:v>
      </x:c>
      <x:c r="N846" s="51" t="n">
        <x:v>49</x:v>
      </x:c>
    </x:row>
    <x:row r="847">
      <x:c r="A847" s="51" t="str">
        <x:v>MAT-6R-0833</x:v>
      </x:c>
      <x:c r="B847" s="52" t="str">
        <x:v>Камер угсралт</x:v>
      </x:c>
      <x:c r="C847" s="52" t="str">
        <x:v>Суурин ком i7, 1TB, HDD</x:v>
      </x:c>
      <x:c r="D847" s="52" t="str"/>
      <x:c r="E847" s="52" t="str">
        <x:v>ш</x:v>
      </x:c>
      <x:c r="F847" s="53" t="n">
        <x:v>1</x:v>
      </x:c>
      <x:c r="G847" s="54" t="n">
        <x:v>2250000</x:v>
      </x:c>
      <x:c r="H847" s="54" t="n">
        <x:v>2250000</x:v>
      </x:c>
      <x:c r="I847" s="54" t="n">
        <x:f>IF(AND(ISNUMBER(F847),ISNUMBER(G847)),ROUND(F847*G847,0),H847)</x:f>
        <x:v>2250000</x:v>
      </x:c>
      <x:c r="J847" s="54" t="n">
        <x:f>I847-H847</x:f>
        <x:v>0</x:v>
      </x:c>
      <x:c r="K847" s="51" t="str">
        <x:v>Материал</x:v>
      </x:c>
      <x:c r="L847" s="51" t="str">
        <x:f>IF(J847=0,"OK","Шалгах")</x:f>
        <x:v>OK</x:v>
      </x:c>
      <x:c r="M847" s="51" t="str">
        <x:v>Холбоо</x:v>
      </x:c>
      <x:c r="N847" s="51" t="n">
        <x:v>50</x:v>
      </x:c>
    </x:row>
    <x:row r="848">
      <x:c r="A848" s="51" t="str">
        <x:v>MAT-6R-0834</x:v>
      </x:c>
      <x:c r="B848" s="52" t="str">
        <x:v>Зарлан мэдээлэх систем</x:v>
      </x:c>
      <x:c r="C848" s="52" t="str">
        <x:v>Чанга яригч</x:v>
      </x:c>
      <x:c r="D848" s="52" t="str"/>
      <x:c r="E848" s="52" t="str"/>
      <x:c r="F848" s="53" t="n">
        <x:v>36</x:v>
      </x:c>
      <x:c r="G848" s="54"/>
      <x:c r="H848" s="54" t="n">
        <x:v>0</x:v>
      </x:c>
      <x:c r="I848" s="54" t="n">
        <x:f>IF(AND(ISNUMBER(F848),ISNUMBER(G848)),ROUND(F848*G848,0),H848)</x:f>
        <x:v>0</x:v>
      </x:c>
      <x:c r="J848" s="54" t="n">
        <x:f>I848-H848</x:f>
        <x:v>0</x:v>
      </x:c>
      <x:c r="K848" s="51" t="str">
        <x:v>Материал</x:v>
      </x:c>
      <x:c r="L848" s="51" t="str">
        <x:f>IF(J848=0,"OK","Шалгах")</x:f>
        <x:v>OK</x:v>
      </x:c>
      <x:c r="M848" s="51" t="str">
        <x:v>Холбоо</x:v>
      </x:c>
      <x:c r="N848" s="51" t="n">
        <x:v>52</x:v>
      </x:c>
    </x:row>
    <x:row r="849">
      <x:c r="A849" s="51" t="str">
        <x:v>MAT-6R-0835</x:v>
      </x:c>
      <x:c r="B849" s="52" t="str">
        <x:v>Зарлан мэдээлэх систем</x:v>
      </x:c>
      <x:c r="C849" s="52" t="str">
        <x:v>Зарлан мэдээлэгч системийн өсгөгч 750 Вт</x:v>
      </x:c>
      <x:c r="D849" s="52" t="str"/>
      <x:c r="E849" s="52" t="str">
        <x:v>ш</x:v>
      </x:c>
      <x:c r="F849" s="53" t="n">
        <x:v>1</x:v>
      </x:c>
      <x:c r="G849" s="54"/>
      <x:c r="H849" s="54" t="n">
        <x:v>0</x:v>
      </x:c>
      <x:c r="I849" s="54" t="n">
        <x:f>IF(AND(ISNUMBER(F849),ISNUMBER(G849)),ROUND(F849*G849,0),H849)</x:f>
        <x:v>0</x:v>
      </x:c>
      <x:c r="J849" s="54" t="n">
        <x:f>I849-H849</x:f>
        <x:v>0</x:v>
      </x:c>
      <x:c r="K849" s="51" t="str">
        <x:v>Материал</x:v>
      </x:c>
      <x:c r="L849" s="51" t="str">
        <x:f>IF(J849=0,"OK","Шалгах")</x:f>
        <x:v>OK</x:v>
      </x:c>
      <x:c r="M849" s="51" t="str">
        <x:v>Холбоо</x:v>
      </x:c>
      <x:c r="N849" s="51" t="n">
        <x:v>53</x:v>
      </x:c>
    </x:row>
    <x:row r="850">
      <x:c r="A850" s="51" t="str">
        <x:v>MAT-6R-0836</x:v>
      </x:c>
      <x:c r="B850" s="52" t="str">
        <x:v>Зарлан мэдээлэх систем</x:v>
      </x:c>
      <x:c r="C850" s="52" t="str">
        <x:v>Зарлан мэдээлэгч системийн удирдлага 2 бүсийн</x:v>
      </x:c>
      <x:c r="D850" s="52" t="str"/>
      <x:c r="E850" s="52" t="str">
        <x:v>ш</x:v>
      </x:c>
      <x:c r="F850" s="53" t="n">
        <x:v>1</x:v>
      </x:c>
      <x:c r="G850" s="54"/>
      <x:c r="H850" s="54" t="n">
        <x:v>0</x:v>
      </x:c>
      <x:c r="I850" s="54" t="n">
        <x:f>IF(AND(ISNUMBER(F850),ISNUMBER(G850)),ROUND(F850*G850,0),H850)</x:f>
        <x:v>0</x:v>
      </x:c>
      <x:c r="J850" s="54" t="n">
        <x:f>I850-H850</x:f>
        <x:v>0</x:v>
      </x:c>
      <x:c r="K850" s="51" t="str">
        <x:v>Материал</x:v>
      </x:c>
      <x:c r="L850" s="51" t="str">
        <x:f>IF(J850=0,"OK","Шалгах")</x:f>
        <x:v>OK</x:v>
      </x:c>
      <x:c r="M850" s="51" t="str">
        <x:v>Холбоо</x:v>
      </x:c>
      <x:c r="N850" s="51" t="n">
        <x:v>54</x:v>
      </x:c>
    </x:row>
    <x:row r="851">
      <x:c r="A851" s="51" t="str">
        <x:v>MAT-6R-0837</x:v>
      </x:c>
      <x:c r="B851" s="52" t="str">
        <x:v>Зарлан мэдээлэх систем</x:v>
      </x:c>
      <x:c r="C851" s="52" t="str">
        <x:v>Зэс дамжуулагчтай полиэтилен тусгаарлагчтай полиэтилен бүрхүүлтэй 2 судастай утас FRLS1x2</x:v>
      </x:c>
      <x:c r="D851" s="52" t="str"/>
      <x:c r="E851" s="52" t="str">
        <x:v>м</x:v>
      </x:c>
      <x:c r="F851" s="53" t="n">
        <x:v>1000</x:v>
      </x:c>
      <x:c r="G851" s="54" t="n">
        <x:v>2200</x:v>
      </x:c>
      <x:c r="H851" s="54" t="n">
        <x:v>0</x:v>
      </x:c>
      <x:c r="I851" s="54" t="n">
        <x:f>IF(AND(ISNUMBER(F851),ISNUMBER(G851)),ROUND(F851*G851,0),H851)</x:f>
        <x:v>2200000</x:v>
      </x:c>
      <x:c r="J851" s="54" t="n">
        <x:f>I851-H851</x:f>
        <x:v>2200000</x:v>
      </x:c>
      <x:c r="K851" s="51" t="str">
        <x:v>Материал</x:v>
      </x:c>
      <x:c r="L851" s="51" t="str">
        <x:f>IF(J851=0,"OK","Шалгах")</x:f>
        <x:v>Шалгах</x:v>
      </x:c>
      <x:c r="M851" s="51" t="str">
        <x:v>Холбоо</x:v>
      </x:c>
      <x:c r="N851" s="51" t="n">
        <x:v>55</x:v>
      </x:c>
    </x:row>
    <x:row r="852">
      <x:c r="A852" s="51" t="str">
        <x:v>MAT-6R-0838</x:v>
      </x:c>
      <x:c r="B852" s="52" t="str">
        <x:v>Зарлан мэдээлэх систем</x:v>
      </x:c>
      <x:c r="C852" s="52" t="str">
        <x:v>Даацийн хуванцар хоолой PVC ф22</x:v>
      </x:c>
      <x:c r="D852" s="52" t="str"/>
      <x:c r="E852" s="52" t="str">
        <x:v>м</x:v>
      </x:c>
      <x:c r="F852" s="53" t="n">
        <x:v>1000</x:v>
      </x:c>
      <x:c r="G852" s="54"/>
      <x:c r="H852" s="54" t="n">
        <x:v>0</x:v>
      </x:c>
      <x:c r="I852" s="54" t="n">
        <x:f>IF(AND(ISNUMBER(F852),ISNUMBER(G852)),ROUND(F852*G852,0),H852)</x:f>
        <x:v>0</x:v>
      </x:c>
      <x:c r="J852" s="54" t="n">
        <x:f>I852-H852</x:f>
        <x:v>0</x:v>
      </x:c>
      <x:c r="K852" s="51" t="str">
        <x:v>Материал</x:v>
      </x:c>
      <x:c r="L852" s="51" t="str">
        <x:f>IF(J852=0,"OK","Шалгах")</x:f>
        <x:v>OK</x:v>
      </x:c>
      <x:c r="M852" s="51" t="str">
        <x:v>Холбоо</x:v>
      </x:c>
      <x:c r="N852" s="51" t="n">
        <x:v>56</x:v>
      </x:c>
    </x:row>
    <x:row r="853">
      <x:c r="A853" s="51" t="str">
        <x:v>MAT-6R-0839</x:v>
      </x:c>
      <x:c r="B853" s="52" t="str">
        <x:v>Зарлан мэдээлэх систем</x:v>
      </x:c>
      <x:c r="C853" s="52" t="str">
        <x:v>Микрофон</x:v>
      </x:c>
      <x:c r="D853" s="52" t="str"/>
      <x:c r="E853" s="52" t="str">
        <x:v>ш</x:v>
      </x:c>
      <x:c r="F853" s="53" t="n">
        <x:v>1</x:v>
      </x:c>
      <x:c r="G853" s="54"/>
      <x:c r="H853" s="54" t="n">
        <x:v>0</x:v>
      </x:c>
      <x:c r="I853" s="54" t="n">
        <x:f>IF(AND(ISNUMBER(F853),ISNUMBER(G853)),ROUND(F853*G853,0),H853)</x:f>
        <x:v>0</x:v>
      </x:c>
      <x:c r="J853" s="54" t="n">
        <x:f>I853-H853</x:f>
        <x:v>0</x:v>
      </x:c>
      <x:c r="K853" s="51" t="str">
        <x:v>Материал</x:v>
      </x:c>
      <x:c r="L853" s="51" t="str">
        <x:f>IF(J853=0,"OK","Шалгах")</x:f>
        <x:v>OK</x:v>
      </x:c>
      <x:c r="M853" s="51" t="str">
        <x:v>Холбоо</x:v>
      </x:c>
      <x:c r="N853" s="51" t="n">
        <x:v>57</x:v>
      </x:c>
    </x:row>
    <x:row r="854">
      <x:c r="A854" s="51" t="str">
        <x:v>MAT-6R-0840</x:v>
      </x:c>
      <x:c r="B854" s="52" t="str">
        <x:v>Домофон систем</x:v>
      </x:c>
      <x:c r="C854" s="52" t="str">
        <x:v>Удирдлагын самбар 1дв-т</x:v>
      </x:c>
      <x:c r="D854" s="52" t="str"/>
      <x:c r="E854" s="52" t="str">
        <x:v>ш</x:v>
      </x:c>
      <x:c r="F854" s="53" t="n">
        <x:v>1</x:v>
      </x:c>
      <x:c r="G854" s="54" t="n">
        <x:v>1250000</x:v>
      </x:c>
      <x:c r="H854" s="54" t="n">
        <x:v>1250000</x:v>
      </x:c>
      <x:c r="I854" s="54" t="n">
        <x:f>IF(AND(ISNUMBER(F854),ISNUMBER(G854)),ROUND(F854*G854,0),H854)</x:f>
        <x:v>1250000</x:v>
      </x:c>
      <x:c r="J854" s="54" t="n">
        <x:f>I854-H854</x:f>
        <x:v>0</x:v>
      </x:c>
      <x:c r="K854" s="51" t="str">
        <x:v>Материал</x:v>
      </x:c>
      <x:c r="L854" s="51" t="str">
        <x:f>IF(J854=0,"OK","Шалгах")</x:f>
        <x:v>OK</x:v>
      </x:c>
      <x:c r="M854" s="51" t="str">
        <x:v>Холбоо</x:v>
      </x:c>
      <x:c r="N854" s="51" t="n">
        <x:v>59</x:v>
      </x:c>
    </x:row>
    <x:row r="855">
      <x:c r="A855" s="51" t="str">
        <x:v>MAT-6R-0841</x:v>
      </x:c>
      <x:c r="B855" s="52" t="str">
        <x:v>Домофон систем</x:v>
      </x:c>
      <x:c r="C855" s="52" t="str">
        <x:v>Цахилгаан соронзон цоож</x:v>
      </x:c>
      <x:c r="D855" s="52" t="str"/>
      <x:c r="E855" s="52" t="str">
        <x:v>ш</x:v>
      </x:c>
      <x:c r="F855" s="53" t="n">
        <x:v>1</x:v>
      </x:c>
      <x:c r="G855" s="54" t="n">
        <x:v>150000</x:v>
      </x:c>
      <x:c r="H855" s="54" t="n">
        <x:v>150000</x:v>
      </x:c>
      <x:c r="I855" s="54" t="n">
        <x:f>IF(AND(ISNUMBER(F855),ISNUMBER(G855)),ROUND(F855*G855,0),H855)</x:f>
        <x:v>150000</x:v>
      </x:c>
      <x:c r="J855" s="54" t="n">
        <x:f>I855-H855</x:f>
        <x:v>0</x:v>
      </x:c>
      <x:c r="K855" s="51" t="str">
        <x:v>Материал</x:v>
      </x:c>
      <x:c r="L855" s="51" t="str">
        <x:f>IF(J855=0,"OK","Шалгах")</x:f>
        <x:v>OK</x:v>
      </x:c>
      <x:c r="M855" s="51" t="str">
        <x:v>Холбоо</x:v>
      </x:c>
      <x:c r="N855" s="51" t="n">
        <x:v>60</x:v>
      </x:c>
    </x:row>
    <x:row r="856">
      <x:c r="A856" s="51" t="str">
        <x:v>MAT-6R-0842</x:v>
      </x:c>
      <x:c r="B856" s="52" t="str">
        <x:v>Домофон систем</x:v>
      </x:c>
      <x:c r="C856" s="52" t="str">
        <x:v>Тэжээлийн блок</x:v>
      </x:c>
      <x:c r="D856" s="52" t="str"/>
      <x:c r="E856" s="52" t="str">
        <x:v>ш</x:v>
      </x:c>
      <x:c r="F856" s="53" t="n">
        <x:v>1</x:v>
      </x:c>
      <x:c r="G856" s="54" t="n">
        <x:v>250000</x:v>
      </x:c>
      <x:c r="H856" s="54" t="n">
        <x:v>250000</x:v>
      </x:c>
      <x:c r="I856" s="54" t="n">
        <x:f>IF(AND(ISNUMBER(F856),ISNUMBER(G856)),ROUND(F856*G856,0),H856)</x:f>
        <x:v>250000</x:v>
      </x:c>
      <x:c r="J856" s="54" t="n">
        <x:f>I856-H856</x:f>
        <x:v>0</x:v>
      </x:c>
      <x:c r="K856" s="51" t="str">
        <x:v>Материал</x:v>
      </x:c>
      <x:c r="L856" s="51" t="str">
        <x:f>IF(J856=0,"OK","Шалгах")</x:f>
        <x:v>OK</x:v>
      </x:c>
      <x:c r="M856" s="51" t="str">
        <x:v>Холбоо</x:v>
      </x:c>
      <x:c r="N856" s="51" t="n">
        <x:v>61</x:v>
      </x:c>
    </x:row>
    <x:row r="857">
      <x:c r="A857" s="51" t="str">
        <x:v>MAT-6R-0843</x:v>
      </x:c>
      <x:c r="B857" s="52" t="str">
        <x:v>Домофон систем</x:v>
      </x:c>
      <x:c r="C857" s="52" t="str">
        <x:v>Гарах товчлуур</x:v>
      </x:c>
      <x:c r="D857" s="52" t="str"/>
      <x:c r="E857" s="52" t="str">
        <x:v>ш</x:v>
      </x:c>
      <x:c r="F857" s="53" t="n">
        <x:v>1</x:v>
      </x:c>
      <x:c r="G857" s="54" t="n">
        <x:v>55000</x:v>
      </x:c>
      <x:c r="H857" s="54" t="n">
        <x:v>55000</x:v>
      </x:c>
      <x:c r="I857" s="54" t="n">
        <x:f>IF(AND(ISNUMBER(F857),ISNUMBER(G857)),ROUND(F857*G857,0),H857)</x:f>
        <x:v>55000</x:v>
      </x:c>
      <x:c r="J857" s="54" t="n">
        <x:f>I857-H857</x:f>
        <x:v>0</x:v>
      </x:c>
      <x:c r="K857" s="51" t="str">
        <x:v>Материал</x:v>
      </x:c>
      <x:c r="L857" s="51" t="str">
        <x:f>IF(J857=0,"OK","Шалгах")</x:f>
        <x:v>OK</x:v>
      </x:c>
      <x:c r="M857" s="51" t="str">
        <x:v>Холбоо</x:v>
      </x:c>
      <x:c r="N857" s="51" t="n">
        <x:v>62</x:v>
      </x:c>
    </x:row>
    <x:row r="858">
      <x:c r="A858" s="51" t="str">
        <x:v>MAT-6R-0844</x:v>
      </x:c>
      <x:c r="B858" s="52" t="str">
        <x:v>Домофон систем</x:v>
      </x:c>
      <x:c r="C858" s="52" t="str">
        <x:v>Хананд суурилуулах орцны дүрст дуудлагын харилцуур / Айл дотор</x:v>
      </x:c>
      <x:c r="D858" s="52" t="str"/>
      <x:c r="E858" s="52" t="str">
        <x:v>ш</x:v>
      </x:c>
      <x:c r="F858" s="53" t="n">
        <x:v>123</x:v>
      </x:c>
      <x:c r="G858" s="54" t="n">
        <x:v>280000</x:v>
      </x:c>
      <x:c r="H858" s="54" t="n">
        <x:v>34440000</x:v>
      </x:c>
      <x:c r="I858" s="54" t="n">
        <x:f>IF(AND(ISNUMBER(F858),ISNUMBER(G858)),ROUND(F858*G858,0),H858)</x:f>
        <x:v>34440000</x:v>
      </x:c>
      <x:c r="J858" s="54" t="n">
        <x:f>I858-H858</x:f>
        <x:v>0</x:v>
      </x:c>
      <x:c r="K858" s="51" t="str">
        <x:v>Материал</x:v>
      </x:c>
      <x:c r="L858" s="51" t="str">
        <x:f>IF(J858=0,"OK","Шалгах")</x:f>
        <x:v>OK</x:v>
      </x:c>
      <x:c r="M858" s="51" t="str">
        <x:v>Холбоо</x:v>
      </x:c>
      <x:c r="N858" s="51" t="n">
        <x:v>63</x:v>
      </x:c>
    </x:row>
    <x:row r="859">
      <x:c r="A859" s="51" t="str">
        <x:v>MAT-6R-0845</x:v>
      </x:c>
      <x:c r="B859" s="52" t="str">
        <x:v>Домофон систем</x:v>
      </x:c>
      <x:c r="C859" s="52" t="str">
        <x:v>Сэлгэгч 8 port 10/100/1000Gb</x:v>
      </x:c>
      <x:c r="D859" s="52" t="str"/>
      <x:c r="E859" s="52" t="str">
        <x:v>ш</x:v>
      </x:c>
      <x:c r="F859" s="53" t="n">
        <x:v>16</x:v>
      </x:c>
      <x:c r="G859" s="54" t="n">
        <x:v>170000</x:v>
      </x:c>
      <x:c r="H859" s="54" t="n">
        <x:v>2720000</x:v>
      </x:c>
      <x:c r="I859" s="54" t="n">
        <x:f>IF(AND(ISNUMBER(F859),ISNUMBER(G859)),ROUND(F859*G859,0),H859)</x:f>
        <x:v>2720000</x:v>
      </x:c>
      <x:c r="J859" s="54" t="n">
        <x:f>I859-H859</x:f>
        <x:v>0</x:v>
      </x:c>
      <x:c r="K859" s="51" t="str">
        <x:v>Материал</x:v>
      </x:c>
      <x:c r="L859" s="51" t="str">
        <x:f>IF(J859=0,"OK","Шалгах")</x:f>
        <x:v>OK</x:v>
      </x:c>
      <x:c r="M859" s="51" t="str">
        <x:v>Холбоо</x:v>
      </x:c>
      <x:c r="N859" s="51" t="n">
        <x:v>64</x:v>
      </x:c>
    </x:row>
    <x:row r="860">
      <x:c r="A860" s="51" t="str">
        <x:v>MAT-6R-0846</x:v>
      </x:c>
      <x:c r="B860" s="52" t="str">
        <x:v>Домофон систем</x:v>
      </x:c>
      <x:c r="C860" s="52" t="str">
        <x:v>Сэлгэгч 16 port 10/100/1000Gb</x:v>
      </x:c>
      <x:c r="D860" s="52" t="str"/>
      <x:c r="E860" s="52" t="str">
        <x:v>ш</x:v>
      </x:c>
      <x:c r="F860" s="53" t="n">
        <x:v>1</x:v>
      </x:c>
      <x:c r="G860" s="54" t="n">
        <x:v>450000</x:v>
      </x:c>
      <x:c r="H860" s="54" t="n">
        <x:v>450000</x:v>
      </x:c>
      <x:c r="I860" s="54" t="n">
        <x:f>IF(AND(ISNUMBER(F860),ISNUMBER(G860)),ROUND(F860*G860,0),H860)</x:f>
        <x:v>450000</x:v>
      </x:c>
      <x:c r="J860" s="54" t="n">
        <x:f>I860-H860</x:f>
        <x:v>0</x:v>
      </x:c>
      <x:c r="K860" s="51" t="str">
        <x:v>Материал</x:v>
      </x:c>
      <x:c r="L860" s="51" t="str">
        <x:f>IF(J860=0,"OK","Шалгах")</x:f>
        <x:v>OK</x:v>
      </x:c>
      <x:c r="M860" s="51" t="str">
        <x:v>Холбоо</x:v>
      </x:c>
      <x:c r="N860" s="51" t="n">
        <x:v>65</x:v>
      </x:c>
    </x:row>
    <x:row r="861">
      <x:c r="A861" s="51" t="str">
        <x:v>MAT-6R-0847</x:v>
      </x:c>
      <x:c r="B861" s="52" t="str">
        <x:v>Домофон систем</x:v>
      </x:c>
      <x:c r="C861" s="52" t="str">
        <x:v>Зэс дамжуулагчтай полиэтилен тусгаарлагчтай полиэтилен бүрхүүлтэй 8 судастай утас UTP Cat 6</x:v>
      </x:c>
      <x:c r="D861" s="52" t="str"/>
      <x:c r="E861" s="52" t="str">
        <x:v>ш</x:v>
      </x:c>
      <x:c r="F861" s="53" t="n">
        <x:v>1500</x:v>
      </x:c>
      <x:c r="G861" s="54" t="n">
        <x:v>1250</x:v>
      </x:c>
      <x:c r="H861" s="54" t="n">
        <x:v>1875000</x:v>
      </x:c>
      <x:c r="I861" s="54" t="n">
        <x:f>IF(AND(ISNUMBER(F861),ISNUMBER(G861)),ROUND(F861*G861,0),H861)</x:f>
        <x:v>1875000</x:v>
      </x:c>
      <x:c r="J861" s="54" t="n">
        <x:f>I861-H861</x:f>
        <x:v>0</x:v>
      </x:c>
      <x:c r="K861" s="51" t="str">
        <x:v>Материал</x:v>
      </x:c>
      <x:c r="L861" s="51" t="str">
        <x:f>IF(J861=0,"OK","Шалгах")</x:f>
        <x:v>OK</x:v>
      </x:c>
      <x:c r="M861" s="51" t="str">
        <x:v>Холбоо</x:v>
      </x:c>
      <x:c r="N861" s="51" t="n">
        <x:v>66</x:v>
      </x:c>
    </x:row>
    <x:row r="862">
      <x:c r="A862" s="51" t="str">
        <x:v>MAT-6R-0848</x:v>
      </x:c>
      <x:c r="B862" s="52" t="str">
        <x:v>Домофон систем</x:v>
      </x:c>
      <x:c r="C862" s="52" t="str">
        <x:v>Даацийн хуванцар хоолой PVC ф22</x:v>
      </x:c>
      <x:c r="D862" s="52" t="str"/>
      <x:c r="E862" s="52" t="str">
        <x:v>ш</x:v>
      </x:c>
      <x:c r="F862" s="53" t="n">
        <x:v>1500</x:v>
      </x:c>
      <x:c r="G862" s="54" t="n">
        <x:v>330</x:v>
      </x:c>
      <x:c r="H862" s="54" t="n">
        <x:v>495000</x:v>
      </x:c>
      <x:c r="I862" s="54" t="n">
        <x:f>IF(AND(ISNUMBER(F862),ISNUMBER(G862)),ROUND(F862*G862,0),H862)</x:f>
        <x:v>495000</x:v>
      </x:c>
      <x:c r="J862" s="54" t="n">
        <x:f>I862-H862</x:f>
        <x:v>0</x:v>
      </x:c>
      <x:c r="K862" s="51" t="str">
        <x:v>Материал</x:v>
      </x:c>
      <x:c r="L862" s="51" t="str">
        <x:f>IF(J862=0,"OK","Шалгах")</x:f>
        <x:v>OK</x:v>
      </x:c>
      <x:c r="M862" s="51" t="str">
        <x:v>Холбоо</x:v>
      </x:c>
      <x:c r="N862" s="51" t="n">
        <x:v>67</x:v>
      </x:c>
    </x:row>
  </x:sheetData>
  <x:mergeCells>
    <x:mergeCell ref="A1:N1"/>
    <x:mergeCell ref="A2:N2"/>
    <x:mergeCell ref="A11:B11"/>
  </x:mergeCells>
  <x:conditionalFormatting sqref="E5:E10">
    <x:cfRule type="cellIs" dxfId="2" priority="1" operator="notEqual">
      <x:formula>0</x:formula>
    </x:cfRule>
  </x:conditionalFormatting>
  <x:conditionalFormatting sqref="L15:L862">
    <x:cfRule type="containsText" dxfId="3" priority="2" operator="containsText" text="Шалгах"/>
    <x:cfRule type="containsText" dxfId="4" priority="3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0ef5980cb4dd486b"/>
  </x:tableParts>
</x:worksheet>
</file>