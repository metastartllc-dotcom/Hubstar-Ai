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1184" windowHeight="6768" activeTab="2"/>
  </bookViews>
  <sheets>
    <sheet name="Заавар" sheetId="1" r:id="rId1"/>
    <sheet name="Материалын үнэ" sheetId="2" r:id="rId2"/>
    <sheet name="Ажил-Тээвэр-Механизм" sheetId="3" r:id="rId3"/>
  </sheets>
  <calcPr calcId="162913"/>
</workbook>
</file>

<file path=xl/calcChain.xml><?xml version="1.0" encoding="utf-8"?>
<calcChain xmlns="http://schemas.openxmlformats.org/spreadsheetml/2006/main">
  <c r="L69" i="3" l="1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O10" i="3" l="1"/>
  <c r="N10" i="3"/>
  <c r="O22" i="3"/>
  <c r="N22" i="3"/>
  <c r="O34" i="3"/>
  <c r="N34" i="3"/>
  <c r="O46" i="3"/>
  <c r="N46" i="3"/>
  <c r="O58" i="3"/>
  <c r="N58" i="3"/>
  <c r="O11" i="3"/>
  <c r="N11" i="3"/>
  <c r="O23" i="3"/>
  <c r="N23" i="3"/>
  <c r="O35" i="3"/>
  <c r="N35" i="3"/>
  <c r="O59" i="3"/>
  <c r="N59" i="3"/>
  <c r="O12" i="3"/>
  <c r="N12" i="3"/>
  <c r="O36" i="3"/>
  <c r="N36" i="3"/>
  <c r="O60" i="3"/>
  <c r="N60" i="3"/>
  <c r="O13" i="3"/>
  <c r="N13" i="3"/>
  <c r="O37" i="3"/>
  <c r="N37" i="3"/>
  <c r="O49" i="3"/>
  <c r="N49" i="3"/>
  <c r="O61" i="3"/>
  <c r="N61" i="3"/>
  <c r="O14" i="3"/>
  <c r="N14" i="3"/>
  <c r="O26" i="3"/>
  <c r="N26" i="3"/>
  <c r="O38" i="3"/>
  <c r="N38" i="3"/>
  <c r="O62" i="3"/>
  <c r="N62" i="3"/>
  <c r="O27" i="3"/>
  <c r="N27" i="3"/>
  <c r="O51" i="3"/>
  <c r="N51" i="3"/>
  <c r="O16" i="3"/>
  <c r="N16" i="3"/>
  <c r="O28" i="3"/>
  <c r="N28" i="3"/>
  <c r="O40" i="3"/>
  <c r="N40" i="3"/>
  <c r="O64" i="3"/>
  <c r="N64" i="3"/>
  <c r="O5" i="3"/>
  <c r="N5" i="3"/>
  <c r="O17" i="3"/>
  <c r="N17" i="3"/>
  <c r="O41" i="3"/>
  <c r="N41" i="3"/>
  <c r="O30" i="3"/>
  <c r="N30" i="3"/>
  <c r="O42" i="3"/>
  <c r="N42" i="3"/>
  <c r="O54" i="3"/>
  <c r="N54" i="3"/>
  <c r="O66" i="3"/>
  <c r="N66" i="3"/>
  <c r="O7" i="3"/>
  <c r="N7" i="3"/>
  <c r="O19" i="3"/>
  <c r="N19" i="3"/>
  <c r="O31" i="3"/>
  <c r="N31" i="3"/>
  <c r="O43" i="3"/>
  <c r="N43" i="3"/>
  <c r="O55" i="3"/>
  <c r="N55" i="3"/>
  <c r="O67" i="3"/>
  <c r="N67" i="3"/>
  <c r="O8" i="3"/>
  <c r="N8" i="3"/>
  <c r="O20" i="3"/>
  <c r="N20" i="3"/>
  <c r="O32" i="3"/>
  <c r="N32" i="3"/>
  <c r="O44" i="3"/>
  <c r="N44" i="3"/>
  <c r="O56" i="3"/>
  <c r="N56" i="3"/>
  <c r="O68" i="3"/>
  <c r="N68" i="3"/>
  <c r="O47" i="3"/>
  <c r="N47" i="3"/>
  <c r="O24" i="3"/>
  <c r="N24" i="3"/>
  <c r="O48" i="3"/>
  <c r="N48" i="3"/>
  <c r="O25" i="3"/>
  <c r="N25" i="3"/>
  <c r="O50" i="3"/>
  <c r="N50" i="3"/>
  <c r="O15" i="3"/>
  <c r="N15" i="3"/>
  <c r="O39" i="3"/>
  <c r="N39" i="3"/>
  <c r="O63" i="3"/>
  <c r="N63" i="3"/>
  <c r="O52" i="3"/>
  <c r="N52" i="3"/>
  <c r="O29" i="3"/>
  <c r="N29" i="3"/>
  <c r="O53" i="3"/>
  <c r="N53" i="3"/>
  <c r="O65" i="3"/>
  <c r="N65" i="3"/>
  <c r="O6" i="3"/>
  <c r="N6" i="3"/>
  <c r="O18" i="3"/>
  <c r="N18" i="3"/>
  <c r="O9" i="3"/>
  <c r="N9" i="3"/>
  <c r="O21" i="3"/>
  <c r="N21" i="3"/>
  <c r="O33" i="3"/>
  <c r="N33" i="3"/>
  <c r="O45" i="3"/>
  <c r="N45" i="3"/>
  <c r="O57" i="3"/>
  <c r="N57" i="3"/>
  <c r="O69" i="3"/>
  <c r="N69" i="3"/>
</calcChain>
</file>

<file path=xl/sharedStrings.xml><?xml version="1.0" encoding="utf-8"?>
<sst xmlns="http://schemas.openxmlformats.org/spreadsheetml/2006/main" count="1148" uniqueCount="652">
  <si>
    <t>HUBSTAR AI — EXCEL ҮНЭ ИМПОРТЫН ЗАГВАР</t>
  </si>
  <si>
    <t>Алхам</t>
  </si>
  <si>
    <t>Заавар</t>
  </si>
  <si>
    <t>1</t>
  </si>
  <si>
    <t>Шар өнгийн нүднүүдэд шинэ үнэ болон эх сурвалжийг бөглөнө.</t>
  </si>
  <si>
    <t>2</t>
  </si>
  <si>
    <t>Product ID болон Work ID багануудыг өөрчлөхгүй.</t>
  </si>
  <si>
    <t>3</t>
  </si>
  <si>
    <t>Материалын үнэ sheet-д шинэ нэгж үнэ, огноо, нийлүүлэгчийг оруулна.</t>
  </si>
  <si>
    <t>4</t>
  </si>
  <si>
    <t>Ажил-Тээвэр-Механизм sheet-д ажлын хөлс, тээвэр, механизм, НӨАТ оруулна.</t>
  </si>
  <si>
    <t>5</t>
  </si>
  <si>
    <t>Файлыг хадгалаад main.py-ийн 13-р цэсээр импортолно.</t>
  </si>
  <si>
    <t>Анхааруулга</t>
  </si>
  <si>
    <t>НӨАТ үнэ дотроо орсон бол НӨАТ % баганад 0 оруулна.</t>
  </si>
  <si>
    <t>7-р ээлж B блок — Материалын нэгж үнэ</t>
  </si>
  <si>
    <t>Зөвхөн шар багануудыг бөглөнө. ID болон материалын нэрийг өөрчлөхгүй.</t>
  </si>
  <si>
    <t>Product ID</t>
  </si>
  <si>
    <t>Ангилал</t>
  </si>
  <si>
    <t>Материалын нэр</t>
  </si>
  <si>
    <t>Нэгж</t>
  </si>
  <si>
    <t>Үзүүлэлт</t>
  </si>
  <si>
    <t>Одоогийн үнэ MNT</t>
  </si>
  <si>
    <t>ШИНЭ НЭГЖ ҮНЭ MNT</t>
  </si>
  <si>
    <t>Үнийн огноо</t>
  </si>
  <si>
    <t>Нийлүүлэгч/эх сурвалж</t>
  </si>
  <si>
    <t>Тайлбар</t>
  </si>
  <si>
    <t>PRD-ALTAI-B-127</t>
  </si>
  <si>
    <t>Битүүмжлэл</t>
  </si>
  <si>
    <t>Барилгын силикон/нейтрал чигжээс</t>
  </si>
  <si>
    <t>картриж</t>
  </si>
  <si>
    <t>Материалын нийцэл, UV ба хөдөлгөөнөөр</t>
  </si>
  <si>
    <t>Planning-level online enrichment</t>
  </si>
  <si>
    <t>PRD-ALTAI-B-009</t>
  </si>
  <si>
    <t>Заадлын дүүргэгч хөөсөрсөн утас</t>
  </si>
  <si>
    <t>м</t>
  </si>
  <si>
    <t>Чигжээсийн гүнийг хянах PE дүүргэгч</t>
  </si>
  <si>
    <t>PRD-ALTAI-B-008</t>
  </si>
  <si>
    <t>Полиуретан уян чигжээс</t>
  </si>
  <si>
    <t>Хөдөлгөөнт болон холбоос заадалд</t>
  </si>
  <si>
    <t>PRD-ALTAI-B-092</t>
  </si>
  <si>
    <t>Будаг</t>
  </si>
  <si>
    <t>Дотор ханын праймер</t>
  </si>
  <si>
    <t>л</t>
  </si>
  <si>
    <t>Шүлтэнд тэсвэртэй усан суурьтай праймер</t>
  </si>
  <si>
    <t>PRD-ALTAI-B-093</t>
  </si>
  <si>
    <t>Дотор эмульс будаг</t>
  </si>
  <si>
    <t>Low-VOC, угаагддаг ангиллыг өрөөний зориулалтаар</t>
  </si>
  <si>
    <t>PRD-ALTAI-B-095</t>
  </si>
  <si>
    <t>Зүлгүүр ба тор</t>
  </si>
  <si>
    <t>ш</t>
  </si>
  <si>
    <t>Нунтаглалтын ширхэглэл, тоос соролттой хэрэгсэл</t>
  </si>
  <si>
    <t>PRD-ALTAI-B-109</t>
  </si>
  <si>
    <t>Обой</t>
  </si>
  <si>
    <t>м²</t>
  </si>
  <si>
    <t>Pattern repeat, washability, fire class-аар</t>
  </si>
  <si>
    <t>PRD-ALTAI-B-110</t>
  </si>
  <si>
    <t>Обойны цавуу ба праймер</t>
  </si>
  <si>
    <t>кг</t>
  </si>
  <si>
    <t>Обойны суурь материалд тохирсон</t>
  </si>
  <si>
    <t>PRD-ALTAI-B-094</t>
  </si>
  <si>
    <t>Хана, таазны замаска</t>
  </si>
  <si>
    <t>Суурь ба эцсийн өнгөлгөөний түвшнээр</t>
  </si>
  <si>
    <t>PRD-ALTAI-B-141</t>
  </si>
  <si>
    <t>Бусад</t>
  </si>
  <si>
    <t>Магадлашгүй ажлын хэрэглээний нөөц</t>
  </si>
  <si>
    <t>ком</t>
  </si>
  <si>
    <t>Зөвхөн батлагдсан change order/талбайн хүсэлтээр зарцуулна</t>
  </si>
  <si>
    <t>PRD-ALTAI-B-002</t>
  </si>
  <si>
    <t>Гадна хийц</t>
  </si>
  <si>
    <t>EPS/XPS дулаалгын хавтан</t>
  </si>
  <si>
    <t>Зузаан, шахалтын бат бэх, галын ангиллыг зурагт нийцүүлнэ</t>
  </si>
  <si>
    <t>PRD-ALTAI-B-007</t>
  </si>
  <si>
    <t>Гадна фасадны будаг/өнгөлгөө</t>
  </si>
  <si>
    <t>UV, цаг уурт тэсвэртэй гадна өнгөлгөө</t>
  </si>
  <si>
    <t>PRD-ALTAI-B-006</t>
  </si>
  <si>
    <t>Гадна фасадны праймер</t>
  </si>
  <si>
    <t>Шүлт, чийгт тэсвэртэй; бетон/шавардлагад</t>
  </si>
  <si>
    <t>PRD-ALTAI-B-003</t>
  </si>
  <si>
    <t>Дулаалгын цавуу ба суурь үе</t>
  </si>
  <si>
    <t>Системийн нийцтэй полимер-цементэн цавуу/суурь үе</t>
  </si>
  <si>
    <t>PRD-ALTAI-B-005</t>
  </si>
  <si>
    <t>Фасадны механик бэхэлгээ</t>
  </si>
  <si>
    <t>Суурь ханын төрөл, салхины ачааллаар сонгоно</t>
  </si>
  <si>
    <t>PRD-ALTAI-B-001</t>
  </si>
  <si>
    <t>Фасадны чулуун хөвөн хавтан</t>
  </si>
  <si>
    <t>Шатдаггүй, фасадны зориулалт; нягт ба зузааныг дулаан техникийн тооцоогоор</t>
  </si>
  <si>
    <t>PRD-ALTAI-B-004</t>
  </si>
  <si>
    <t>Шүлтэнд тэсвэртэй шилэн тор</t>
  </si>
  <si>
    <t>Фасадны системийн арматурлах тор</t>
  </si>
  <si>
    <t>PRD-ALTAI-B-061</t>
  </si>
  <si>
    <t>Галын дохиолол</t>
  </si>
  <si>
    <t>Гар мэдрэгч</t>
  </si>
  <si>
    <t>Addressable, indoor/outdoor IP class</t>
  </si>
  <si>
    <t>PRD-ALTAI-B-060</t>
  </si>
  <si>
    <t>Дулаан мэдрэгч</t>
  </si>
  <si>
    <t>Fixed/rate-of-rise төрөл, орчны нөхцлөөр</t>
  </si>
  <si>
    <t>PRD-ALTAI-B-062</t>
  </si>
  <si>
    <t>Дуут/гэрлэн дохиологч</t>
  </si>
  <si>
    <t>NAC load, dB, candela, synchronization-оор</t>
  </si>
  <si>
    <t>PRD-ALTAI-B-064</t>
  </si>
  <si>
    <t>Нөөц батарей ба тэжээл</t>
  </si>
  <si>
    <t>Standby/alarm load calculation-аар</t>
  </si>
  <si>
    <t>PRD-ALTAI-B-059</t>
  </si>
  <si>
    <t>Утаа мэдрэгч</t>
  </si>
  <si>
    <t>Хаяглагдсан, суурьтай; зураг төслөөр</t>
  </si>
  <si>
    <t>PRD-ALTAI-B-058</t>
  </si>
  <si>
    <t>Хаяглагдсан галын дохиоллын төв</t>
  </si>
  <si>
    <t>Loop/device capacity, network and communicator requirement-ээр</t>
  </si>
  <si>
    <t>PRD-ALTAI-B-063</t>
  </si>
  <si>
    <t>Хаяглагдсан оролт/гаралтын модуль</t>
  </si>
  <si>
    <t>Supervised input/output, interface requirement-ээр</t>
  </si>
  <si>
    <t>PRD-ALTAI-B-030</t>
  </si>
  <si>
    <t>Галын хамгаалалт</t>
  </si>
  <si>
    <t>Галын зогсоогч чигжээс</t>
  </si>
  <si>
    <t>Хоолой, кабель, нэвтрэлтийн баталгаажсан систем</t>
  </si>
  <si>
    <t>PRD-ALTAI-B-111</t>
  </si>
  <si>
    <t>Гоёл</t>
  </si>
  <si>
    <t>Гоёлын хөөсөн хүрээ</t>
  </si>
  <si>
    <t>Профиль schedule ба цэвэр уртаар</t>
  </si>
  <si>
    <t>PRD-ALTAI-B-121</t>
  </si>
  <si>
    <t>Зэвэрдэггүй ган гоёлын хавтан/профиль</t>
  </si>
  <si>
    <t>Grade, finish, gauge, shop drawing-аар</t>
  </si>
  <si>
    <t>PRD-ALTAI-B-112</t>
  </si>
  <si>
    <t>Хүрээний цавуу</t>
  </si>
  <si>
    <t>Хөөсөн материалтай нийцтэй</t>
  </si>
  <si>
    <t>PRD-ALTAI-B-120</t>
  </si>
  <si>
    <t>Цонхны чулуун тавцан</t>
  </si>
  <si>
    <t>Зузаан, хамар, дуслын ховил, finish-аар</t>
  </si>
  <si>
    <t>PRD-ALTAI-B-014</t>
  </si>
  <si>
    <t>Дээвэр</t>
  </si>
  <si>
    <t>Геотекстиль/хамгаалалтын үе</t>
  </si>
  <si>
    <t>Мембраны хамгаалалтын салгах үе</t>
  </si>
  <si>
    <t>PRD-ALTAI-B-013</t>
  </si>
  <si>
    <t>Дээврийн мембраны праймер</t>
  </si>
  <si>
    <t>Суурь ба мембрантай нийцсэн праймер</t>
  </si>
  <si>
    <t>PRD-ALTAI-B-015</t>
  </si>
  <si>
    <t>Дээврийн ус зайлуулах хүлээн авагч</t>
  </si>
  <si>
    <t>Фланц, навч баригч, халаалттай эсэхийг зурагт нийцүүлнэ</t>
  </si>
  <si>
    <t>PRD-ALTAI-B-012</t>
  </si>
  <si>
    <t>Дээврийн ус тусгаарлагч мембран</t>
  </si>
  <si>
    <t>Шингэн эсвэл хуйлмал систем; детальд бүрэн наалдсан</t>
  </si>
  <si>
    <t>PRD-ALTAI-B-011</t>
  </si>
  <si>
    <t>Дээврийн хатуу дулаалгын хавтан</t>
  </si>
  <si>
    <t>Шахалтын бат бэх, дулаан дамжуулалтаар сонгоно</t>
  </si>
  <si>
    <t>PRD-ALTAI-B-010</t>
  </si>
  <si>
    <t>Уур тусгаарлагч үе</t>
  </si>
  <si>
    <t>Үе холбоосыг битүүмжилсэн уур тусгаарлагч</t>
  </si>
  <si>
    <t>PRD-ALTAI-B-134</t>
  </si>
  <si>
    <t>Ложистик</t>
  </si>
  <si>
    <t>Бэхэлгээний оосор</t>
  </si>
  <si>
    <t>Ачааны жин, өргөлтийн горимоор</t>
  </si>
  <si>
    <t>PRD-ALTAI-B-135</t>
  </si>
  <si>
    <t>Материалын тэргэнцэр</t>
  </si>
  <si>
    <t>Даац, дугуй, шалны хамгаалалтаар</t>
  </si>
  <si>
    <t>PRD-ALTAI-B-131</t>
  </si>
  <si>
    <t>Паллет</t>
  </si>
  <si>
    <t>Материалын жин ба өргөлтийн хэрэгсэлд тохирсон</t>
  </si>
  <si>
    <t>PRD-ALTAI-B-133</t>
  </si>
  <si>
    <t>Хамгаалалтын болон stretch хальс</t>
  </si>
  <si>
    <t>рулон</t>
  </si>
  <si>
    <t>Бэлэн өнгөлгөө, материалын баглаа хамгаалах</t>
  </si>
  <si>
    <t>PRD-ALTAI-B-140</t>
  </si>
  <si>
    <t>Шал, хаалга, лифтний хамгаалалтын хавтан</t>
  </si>
  <si>
    <t>Corrugated board/film; бэлэн хийцийг хамгаалах</t>
  </si>
  <si>
    <t>PRD-ALTAI-B-132</t>
  </si>
  <si>
    <t>Шуудай/Big-bag</t>
  </si>
  <si>
    <t>Хаягдал ба нунтаг материалыг тусгаарлан зөөвөрлөх</t>
  </si>
  <si>
    <t>PRD-ALTAI-B-124</t>
  </si>
  <si>
    <t>Металл хийц</t>
  </si>
  <si>
    <t>Гагнуурын электрод/утас</t>
  </si>
  <si>
    <t>Гангийн төрөл, WPS-аар</t>
  </si>
  <si>
    <t>PRD-ALTAI-B-125</t>
  </si>
  <si>
    <t>Зэврэлтээс хамгаалах праймер/будаг</t>
  </si>
  <si>
    <t>Exposure class, surface preparation-аар</t>
  </si>
  <si>
    <t>PRD-ALTAI-B-122</t>
  </si>
  <si>
    <t>Зэвэрдэггүй/будсан ган шатны бариул</t>
  </si>
  <si>
    <t>Height, loads, post spacing, finish-аар</t>
  </si>
  <si>
    <t>PRD-ALTAI-B-123</t>
  </si>
  <si>
    <t>Химийн анкер ба шпилька</t>
  </si>
  <si>
    <t>Суурийн бетон, ачаалал, edge distance-аар</t>
  </si>
  <si>
    <t>PRD-ALTAI-B-068</t>
  </si>
  <si>
    <t>Нэвтрэлт</t>
  </si>
  <si>
    <t>Алмазан өрөм, гильз</t>
  </si>
  <si>
    <t>Нүхний диаметр, ханын зузаан, pipe sleeve материалаар</t>
  </si>
  <si>
    <t>PRD-ALTAI-B-099</t>
  </si>
  <si>
    <t>Плита, чулуу</t>
  </si>
  <si>
    <t>Мөөгөнцөрт тэсвэртэй санитар силикон</t>
  </si>
  <si>
    <t>Дотор булан, тоноглол, өөрчлөлтийн заадалд</t>
  </si>
  <si>
    <t>PRD-ALTAI-B-102</t>
  </si>
  <si>
    <t>Плитаны зай баригч/тэгшлэгч</t>
  </si>
  <si>
    <t>Хавтангийн хэмжээ, заадлын өргөнөөр</t>
  </si>
  <si>
    <t>PRD-ALTAI-B-098</t>
  </si>
  <si>
    <t>Уян цементэн плитаны цавуу</t>
  </si>
  <si>
    <t>C2/C2TE/S1 ангиллыг хавтан ба сууринд тохируулна</t>
  </si>
  <si>
    <t>PRD-ALTAI-B-096</t>
  </si>
  <si>
    <t>Ханын керамик плита</t>
  </si>
  <si>
    <t>Хэмжээ, ус шингээлт, slip requirement-ээр</t>
  </si>
  <si>
    <t>PRD-ALTAI-B-097</t>
  </si>
  <si>
    <t>Шалны керамогранит плита</t>
  </si>
  <si>
    <t>Элэгдэл, хальтиргааны ангилал, хэмжээний schedule-ээр</t>
  </si>
  <si>
    <t>PRD-ALTAI-B-103</t>
  </si>
  <si>
    <t>Өнгөлгөөний чулуун хавтан</t>
  </si>
  <si>
    <t>Шат, босго, коридорын зориулалт ба slip class-аар</t>
  </si>
  <si>
    <t>PRD-ALTAI-B-019</t>
  </si>
  <si>
    <t>Өнгөт чигжээс</t>
  </si>
  <si>
    <t>Заадлын өргөнд тохирсон, нойтон орчинд ус түлхэгч</t>
  </si>
  <si>
    <t>PRD-ALTAI-B-032</t>
  </si>
  <si>
    <t>Салхивч</t>
  </si>
  <si>
    <t>Агаарын сувгийн холбох хэрэгсэл</t>
  </si>
  <si>
    <t>Тохой, тройник, редуктор, шилжилт, таг</t>
  </si>
  <si>
    <t>PRD-ALTAI-B-035</t>
  </si>
  <si>
    <t>Решётка ба диффузор</t>
  </si>
  <si>
    <t>Агаарын зарцуулалт, дуу чимээний тооцоогоор</t>
  </si>
  <si>
    <t>PRD-ALTAI-B-039</t>
  </si>
  <si>
    <t>Салхивчийн сэнс</t>
  </si>
  <si>
    <t>Агаарын зарцуулалт, даралт, дуу чимээгээр</t>
  </si>
  <si>
    <t>PRD-ALTAI-B-033</t>
  </si>
  <si>
    <t>Сувгийн EPDM жийрэг/чигжээс</t>
  </si>
  <si>
    <t>Агаарын алдагдлын ангид тохирсон</t>
  </si>
  <si>
    <t>PRD-ALTAI-B-036</t>
  </si>
  <si>
    <t>Сувгийн дулаан/дуу тусгаарлалт</t>
  </si>
  <si>
    <t>Зузаан, бүрээс, галын ангиллыг зургаар</t>
  </si>
  <si>
    <t>PRD-ALTAI-B-037</t>
  </si>
  <si>
    <t>Сувгийн өлгүүр, суваг төмөр</t>
  </si>
  <si>
    <t>Threaded rod, channel, clamps; ачааллаар</t>
  </si>
  <si>
    <t>PRD-ALTAI-B-034</t>
  </si>
  <si>
    <t>Тохируулах ба галын хаалт</t>
  </si>
  <si>
    <t>Галын ангилал, actuator, access requirement-ээр</t>
  </si>
  <si>
    <t>PRD-ALTAI-B-038</t>
  </si>
  <si>
    <t>Уян холбоос</t>
  </si>
  <si>
    <t>Сэнс, тоноглолын чичиргээ тусгаарлах</t>
  </si>
  <si>
    <t>PRD-ALTAI-B-031</t>
  </si>
  <si>
    <t>Цайрдсан агаар дамжуулах суваг</t>
  </si>
  <si>
    <t>Дугуй/дөрвөлжин, зузаан ба ангиллыг зургаар</t>
  </si>
  <si>
    <t>PRD-ALTAI-B-040</t>
  </si>
  <si>
    <t>Үзлэгийн хаалга</t>
  </si>
  <si>
    <t>Дампер, шүүлтүүр, цэвэрлэгээний цэгт</t>
  </si>
  <si>
    <t>PRD-ALTAI-B-021</t>
  </si>
  <si>
    <t>Сантехник</t>
  </si>
  <si>
    <t>PP-R халуун/хүйтэн усны хоолой</t>
  </si>
  <si>
    <t>Даралтын анги, диаметрийг сантехникийн зургаар</t>
  </si>
  <si>
    <t>PRD-ALTAI-B-022</t>
  </si>
  <si>
    <t>PP-R холбох хэрэгсэл</t>
  </si>
  <si>
    <t>Тохой, тройник, муфт, редуктор, фланц адаптер</t>
  </si>
  <si>
    <t>PRD-ALTAI-B-023</t>
  </si>
  <si>
    <t>Бохир усны PVC/PP хоолой</t>
  </si>
  <si>
    <t>Диаметр, дуу тусгаарлалт, галын ангиллыг зургаар</t>
  </si>
  <si>
    <t>PRD-ALTAI-B-024</t>
  </si>
  <si>
    <t>Бохирын холбох хэрэгсэл</t>
  </si>
  <si>
    <t>Тохой, тройник, цэвэрлэгээний таг, компенсатор</t>
  </si>
  <si>
    <t>PRD-ALTAI-B-126</t>
  </si>
  <si>
    <t>Коллекторын хайрцаг</t>
  </si>
  <si>
    <t>Коллекторын хэмжээ, ханын зузаан, access-аар</t>
  </si>
  <si>
    <t>PRD-ALTAI-B-028</t>
  </si>
  <si>
    <t>Сантехникийн тоноглол</t>
  </si>
  <si>
    <t>Суултуур, угаалтуур, холигч, сифон; schedule-ээр</t>
  </si>
  <si>
    <t>PRD-ALTAI-B-025</t>
  </si>
  <si>
    <t>Хаалт ба буцах клапан</t>
  </si>
  <si>
    <t>Даралт, температур, холболтын төрлөөр</t>
  </si>
  <si>
    <t>PRD-ALTAI-B-026</t>
  </si>
  <si>
    <t>Хоолойн дулаалга</t>
  </si>
  <si>
    <t>Зузаан, галын ангилал, уурын хаалтыг зургаар</t>
  </si>
  <si>
    <t>PRD-ALTAI-B-027</t>
  </si>
  <si>
    <t>Хоолойн тулгуур ба хомут</t>
  </si>
  <si>
    <t>Зай, ачаалал, чичиргээний тусгаарлалтаар</t>
  </si>
  <si>
    <t>PRD-ALTAI-B-029</t>
  </si>
  <si>
    <t>Шалны трап</t>
  </si>
  <si>
    <t>Ус тусгаарлалтын фланцтай, үнэр хаагчтай</t>
  </si>
  <si>
    <t>PRD-ALTAI-B-065</t>
  </si>
  <si>
    <t>Сул гүйдэл</t>
  </si>
  <si>
    <t>Data/CCTV/intercom кабель</t>
  </si>
  <si>
    <t>Cat/optical/coaxial төрөл, галын ангиллыг зургаар</t>
  </si>
  <si>
    <t>PRD-ALTAI-B-067</t>
  </si>
  <si>
    <t>Домофон систем</t>
  </si>
  <si>
    <t>Entrance panel, indoor units, power/network accessories</t>
  </si>
  <si>
    <t>PRD-ALTAI-B-066</t>
  </si>
  <si>
    <t>Хяналтын камер</t>
  </si>
  <si>
    <t>Resolution, lens, PoE, IP/IK rating-ээр</t>
  </si>
  <si>
    <t>PRD-ALTAI-B-114</t>
  </si>
  <si>
    <t>Тааз</t>
  </si>
  <si>
    <t>Лампиран таазны carrier ба хүрээ</t>
  </si>
  <si>
    <t>Carrier, perimeter profile, hanger</t>
  </si>
  <si>
    <t>PRD-ALTAI-B-113</t>
  </si>
  <si>
    <t>Лампиран таазны рейк</t>
  </si>
  <si>
    <t>Нойтон орчны зэврэлт, модуль, finish-аар</t>
  </si>
  <si>
    <t>PRD-ALTAI-B-085</t>
  </si>
  <si>
    <t>Таазны металл каркас ба өлгүүр</t>
  </si>
  <si>
    <t>Main/furring channel, hanger, perimeter angle</t>
  </si>
  <si>
    <t>PRD-ALTAI-B-088</t>
  </si>
  <si>
    <t>Таазны өлгүүр утас/саваа</t>
  </si>
  <si>
    <t>Сүлжээний модуль ба ачааллаар</t>
  </si>
  <si>
    <t>PRD-ALTAI-B-047</t>
  </si>
  <si>
    <t>УДДТ</t>
  </si>
  <si>
    <t>Дулааны тоолуур ба хэмжүүрүүд</t>
  </si>
  <si>
    <t>Тоолуур, термометр, манометр, sensor pocket</t>
  </si>
  <si>
    <t>PRD-ALTAI-B-044</t>
  </si>
  <si>
    <t>Контроллер ба температурын мэдрэгч</t>
  </si>
  <si>
    <t>Цаг агаарын компенсаци, BMS холболттой эсэх</t>
  </si>
  <si>
    <t>PRD-ALTAI-B-046</t>
  </si>
  <si>
    <t>Тэлэлтийн сав</t>
  </si>
  <si>
    <t>Системийн эзэлхүүн, температурын тэлэлтээр</t>
  </si>
  <si>
    <t>PRD-ALTAI-B-043</t>
  </si>
  <si>
    <t>Удирдлагын клапан ба actuator</t>
  </si>
  <si>
    <t>Pressure-independent эсвэл зурагт заасан төрөл</t>
  </si>
  <si>
    <t>PRD-ALTAI-B-045</t>
  </si>
  <si>
    <t>Шүүр, аюулгүйн клапан, агаар гаргагч</t>
  </si>
  <si>
    <t>Даралтын ангилал ба схемээр</t>
  </si>
  <si>
    <t>PRD-ALTAI-B-042</t>
  </si>
  <si>
    <t>Эргэлтийн насос</t>
  </si>
  <si>
    <t>Зарцуулалт, напор, duty/standby зохион байгуулалтаар</t>
  </si>
  <si>
    <t>PRD-ALTAI-B-041</t>
  </si>
  <si>
    <t>Ялтсан дулаан солилцуур</t>
  </si>
  <si>
    <t>Дулааны чадал, температурын горим, даралтаар</t>
  </si>
  <si>
    <t>PRD-ALTAI-B-100</t>
  </si>
  <si>
    <t>Ус тусгаарлалт</t>
  </si>
  <si>
    <t>Плитаны доорх уян мембран</t>
  </si>
  <si>
    <t>Хана, шал, шүршүүрийн хэсэгт системээр</t>
  </si>
  <si>
    <t>PRD-ALTAI-B-101</t>
  </si>
  <si>
    <t>Ус тусгаарлалтын тууз ба булан</t>
  </si>
  <si>
    <t>Хана-шал, босоо булан, нэвтрэлтээр</t>
  </si>
  <si>
    <t>PRD-ALTAI-B-136</t>
  </si>
  <si>
    <t>ХАБЭА</t>
  </si>
  <si>
    <t>PPE багц</t>
  </si>
  <si>
    <t>Каск, нүдний шил, бээлий, амьсгал хамгаалалт, хамгаалах гутал</t>
  </si>
  <si>
    <t>PRD-ALTAI-B-117</t>
  </si>
  <si>
    <t>Хаалга</t>
  </si>
  <si>
    <t>Бага тэлэлттэй PU хөөс</t>
  </si>
  <si>
    <t>баллон</t>
  </si>
  <si>
    <t>Рамын завсар дүүргэх; галын хаалганд баталгаажсан систем</t>
  </si>
  <si>
    <t>PRD-ALTAI-B-115</t>
  </si>
  <si>
    <t>Галын зэрэглэлтэй хаалга ба рам</t>
  </si>
  <si>
    <t>Fire rating, хэмжээ, opening direction, smoke seal-аар</t>
  </si>
  <si>
    <t>PRD-ALTAI-B-119</t>
  </si>
  <si>
    <t>Нугас, цоож, бариул, утааны жийрэг</t>
  </si>
  <si>
    <t>Door schedule, fire rating, accessibility requirement-ээр</t>
  </si>
  <si>
    <t>PRD-ALTAI-B-118</t>
  </si>
  <si>
    <t>Хаалга хаагч</t>
  </si>
  <si>
    <t>EN1154/галын хаалганы нийцэл, өргөн ба жингээр</t>
  </si>
  <si>
    <t>PRD-ALTAI-B-116</t>
  </si>
  <si>
    <t>Хаалганы рамны анкер</t>
  </si>
  <si>
    <t>Рам, суурь ханын материалд тохирсон</t>
  </si>
  <si>
    <t>PRD-ALTAI-B-079</t>
  </si>
  <si>
    <t>Хуурай хийц</t>
  </si>
  <si>
    <t>C металл босоо профиль</t>
  </si>
  <si>
    <t>Өндөр, зай, зузааныг системийн хүснэгтээр</t>
  </si>
  <si>
    <t>PRD-ALTAI-B-080</t>
  </si>
  <si>
    <t>U чиглүүлэгч профиль</t>
  </si>
  <si>
    <t>Хана/таазны периметрээр</t>
  </si>
  <si>
    <t>PRD-ALTAI-B-081</t>
  </si>
  <si>
    <t>Гипсний шруп</t>
  </si>
  <si>
    <t>Хавтангийн үе, профиль зузаанд тохирсон</t>
  </si>
  <si>
    <t>PRD-ALTAI-B-084</t>
  </si>
  <si>
    <t>Дотор ханын чулуун хөвөн</t>
  </si>
  <si>
    <t>Дуу/галын шаардлага, stud-ийн зузаанд</t>
  </si>
  <si>
    <t>PRD-ALTAI-B-082</t>
  </si>
  <si>
    <t>Заадлын тууз</t>
  </si>
  <si>
    <t>Хавтангийн бүх уулзварт</t>
  </si>
  <si>
    <t>PRD-ALTAI-B-083</t>
  </si>
  <si>
    <t>Заадлын шпаклёвка</t>
  </si>
  <si>
    <t>Заадал, шрупны толгой, өнгөлгөөний түвшнээр</t>
  </si>
  <si>
    <t>PRD-ALTAI-B-077</t>
  </si>
  <si>
    <t>Стандарт гипсэн хавтан</t>
  </si>
  <si>
    <t>12-12.5 мм, системийн шаардлагаар үеийн тоо</t>
  </si>
  <si>
    <t>PRD-ALTAI-B-056</t>
  </si>
  <si>
    <t>Цахилгаан</t>
  </si>
  <si>
    <t>LED гэрэлтүүлэг</t>
  </si>
  <si>
    <t>Lux тооцоо, CCT, IP, emergency requirement-ээр</t>
  </si>
  <si>
    <t>PRD-ALTAI-B-054</t>
  </si>
  <si>
    <t>MCB/RCCB/RCBO хамгаалалт</t>
  </si>
  <si>
    <t>Breaking capacity, curve, leakage sensitivity-ээр</t>
  </si>
  <si>
    <t>PRD-ALTAI-B-050</t>
  </si>
  <si>
    <t>PVC/металл хамгаалалтын хоолой</t>
  </si>
  <si>
    <t>Диаметр, далд/ил суурилуулалт, галын ангиллаар</t>
  </si>
  <si>
    <t>PRD-ALTAI-B-057</t>
  </si>
  <si>
    <t>Газардуулгын дамжуулагч ба хэрэгсэл</t>
  </si>
  <si>
    <t>Earthing design, conductor size, test link, clamps</t>
  </si>
  <si>
    <t>PRD-ALTAI-B-049</t>
  </si>
  <si>
    <t>Галд тэсвэртэй дохиоллын кабель</t>
  </si>
  <si>
    <t>Circuit integrity ба галын дохиоллын шаардлагаар</t>
  </si>
  <si>
    <t>PRD-ALTAI-B-051</t>
  </si>
  <si>
    <t>Кабелийн тавиур ба ladder</t>
  </si>
  <si>
    <t>Ачаалал, дүүргэлт, зэврэлтийн ангиллаар</t>
  </si>
  <si>
    <t>PRD-ALTAI-B-055</t>
  </si>
  <si>
    <t>Унтраалга ба розетка</t>
  </si>
  <si>
    <t>Rated current, IP, finish schedule-ээр</t>
  </si>
  <si>
    <t>PRD-ALTAI-B-052</t>
  </si>
  <si>
    <t>Холболтын ба суурилуулалтын хайрцаг</t>
  </si>
  <si>
    <t>IP ангилал, материал, хэмжээгээр</t>
  </si>
  <si>
    <t>PRD-ALTAI-B-053</t>
  </si>
  <si>
    <t>Хуваарилах самбар</t>
  </si>
  <si>
    <t>Circuit schedule, IP, spare ways, busbar rating-ээр</t>
  </si>
  <si>
    <t>PRD-ALTAI-B-048</t>
  </si>
  <si>
    <t>Хүчний зэс кабель</t>
  </si>
  <si>
    <t>Огтлол, тусгаарлалт, галын ангиллыг цахилгааны зургаар</t>
  </si>
  <si>
    <t>PRD-ALTAI-B-137</t>
  </si>
  <si>
    <t>Цэвэрлэгээ</t>
  </si>
  <si>
    <t>Барилгын дараах цэвэрлэгээний бодис</t>
  </si>
  <si>
    <t>Гадаргуу бүрд нийцсэн, хүчил/шүлтийн эрсдэлийг хянах</t>
  </si>
  <si>
    <t>PRD-ALTAI-B-138</t>
  </si>
  <si>
    <t>Тоос сорогч, шүүр, арчигч хэрэгсэл</t>
  </si>
  <si>
    <t>HEPA тоос сорогч, scraper, mop, microfiber</t>
  </si>
  <si>
    <t>PRD-ALTAI-B-139</t>
  </si>
  <si>
    <t>Хаягдлын уут ба сав</t>
  </si>
  <si>
    <t>Ангилан ялгалт, хурц ирмэг ба шингэний зориулалтаар</t>
  </si>
  <si>
    <t>PRD-ALTAI-B-016</t>
  </si>
  <si>
    <t>Чулуун өнгөлгөө</t>
  </si>
  <si>
    <t>Байгалийн/хиймэл чулуун хавтан</t>
  </si>
  <si>
    <t>Хөлдөлт, ус шингээлт, зузааныг гадна хэрэглээнд сонгоно</t>
  </si>
  <si>
    <t>PRD-ALTAI-B-017</t>
  </si>
  <si>
    <t>Зэвэрдэггүй чулуун бэхэлгээ</t>
  </si>
  <si>
    <t>Хавтангийн хэмжээ, салхины ачааллаар инженер тооцно</t>
  </si>
  <si>
    <t>PRD-ALTAI-B-020</t>
  </si>
  <si>
    <t>Чулууны нэвчдэг хамгаалалт</t>
  </si>
  <si>
    <t>Сүвэрхэг чулуун гадаргуунд</t>
  </si>
  <si>
    <t>PRD-ALTAI-B-018</t>
  </si>
  <si>
    <t>Чулууны уян цементэн цавуу</t>
  </si>
  <si>
    <t>C2/S1 түвшний уян цавуу буюу зурагт заасан систем</t>
  </si>
  <si>
    <t>PRD-ALTAI-B-074</t>
  </si>
  <si>
    <t>Шавардлага</t>
  </si>
  <si>
    <t>Барьцалдуулагч праймер</t>
  </si>
  <si>
    <t>Нягт бетон болон шингээлттэй сууринд тохирсон</t>
  </si>
  <si>
    <t>PRD-ALTAI-B-076</t>
  </si>
  <si>
    <t>Булан хамгаалах профиль</t>
  </si>
  <si>
    <t>Гадна булан, нээлхийн ирмэгээр</t>
  </si>
  <si>
    <t>PRD-ALTAI-B-073</t>
  </si>
  <si>
    <t>Цементэн/гипсэн шавардлагын зуурмаг</t>
  </si>
  <si>
    <t>Суурь, орчин, зузаанд тохируулна</t>
  </si>
  <si>
    <t>PRD-ALTAI-B-075</t>
  </si>
  <si>
    <t>Шавардлагын шилэн тор</t>
  </si>
  <si>
    <t>Материал солигдох уулзвар, ан цавын эрсдэлтэй хэсэгт</t>
  </si>
  <si>
    <t>PRD-ALTAI-B-104</t>
  </si>
  <si>
    <t>Шал</t>
  </si>
  <si>
    <t>Паркет/инженер модон шал</t>
  </si>
  <si>
    <t>Чийг, элэгдэл, finish schedule-ээр</t>
  </si>
  <si>
    <t>PRD-ALTAI-B-105</t>
  </si>
  <si>
    <t>Паркетны дэвсгэр үе</t>
  </si>
  <si>
    <t>Acoustic/vapour performance-аар</t>
  </si>
  <si>
    <t>PRD-ALTAI-B-106</t>
  </si>
  <si>
    <t>Паркетны цавуу</t>
  </si>
  <si>
    <t>Subfloor moisture ба модны төрлөөр</t>
  </si>
  <si>
    <t>PRD-ALTAI-B-091</t>
  </si>
  <si>
    <t>Периметрийн тусгаарлах тууз</t>
  </si>
  <si>
    <t>Ханатай уулзах шалны периметрээр</t>
  </si>
  <si>
    <t>PRD-ALTAI-B-128</t>
  </si>
  <si>
    <t>Резинэн/эпокси шалны будаг</t>
  </si>
  <si>
    <t>Substrate moisture, traffic, slip resistance-аар</t>
  </si>
  <si>
    <t>PRD-ALTAI-B-130</t>
  </si>
  <si>
    <t>Хальтиргаа бууруулах кварц дүүргэгч</t>
  </si>
  <si>
    <t>Slip class ба coating system-ээр</t>
  </si>
  <si>
    <t>PRD-ALTAI-B-107</t>
  </si>
  <si>
    <t>Шалны плинтус</t>
  </si>
  <si>
    <t>Өрөөний цэвэр периметрээр</t>
  </si>
  <si>
    <t>PRD-ALTAI-B-129</t>
  </si>
  <si>
    <t>Шалны системийн праймер</t>
  </si>
  <si>
    <t>Суурь чийг, нягт, topcoat-тай нийцүүлнэ</t>
  </si>
  <si>
    <t>PRD-ALTAI-B-090</t>
  </si>
  <si>
    <t>Шалны тор/фибр</t>
  </si>
  <si>
    <t>Зурагт заасан арматурлалт</t>
  </si>
  <si>
    <t>PRD-ALTAI-B-089</t>
  </si>
  <si>
    <t>Шалны тэгшилгээний зуурмаг</t>
  </si>
  <si>
    <t>Тооцоот зузаан, бат бэх, дотор/гадна хэрэглээгээр</t>
  </si>
  <si>
    <t>PRD-ALTAI-B-108</t>
  </si>
  <si>
    <t>Шалны шилжилтийн профиль</t>
  </si>
  <si>
    <t>Хаалга ба материал солигдох заагаар</t>
  </si>
  <si>
    <t>PRD-ALTAI-B-069</t>
  </si>
  <si>
    <t>Өрөг</t>
  </si>
  <si>
    <t>AAC/хөнгөн блок</t>
  </si>
  <si>
    <t>120-240 мм зузаан; бат бэх, нягтыг зурагт нийцүүлнэ</t>
  </si>
  <si>
    <t>PRD-ALTAI-B-072</t>
  </si>
  <si>
    <t>Нүхний ялуу ба арматур</t>
  </si>
  <si>
    <t>Opening schedule ба бүтээцийн деталиар</t>
  </si>
  <si>
    <t>PRD-ALTAI-B-070</t>
  </si>
  <si>
    <t>Өргийн зуурмаг/нимгэн цавуу</t>
  </si>
  <si>
    <t>Блокийн төрөлд нийцсэн</t>
  </si>
  <si>
    <t>PRD-ALTAI-B-071</t>
  </si>
  <si>
    <t>Өргийн тор ба холбоос</t>
  </si>
  <si>
    <t>Хийцийн холбоос, үе хоорондын арматур</t>
  </si>
  <si>
    <t>7-р ээлж B блок — Ажил, тээвэр, машин механизмын үнэ</t>
  </si>
  <si>
    <t>G–K шар багануудыг бөглөнө. L–O баганууд автоматаар тооцогдоно.</t>
  </si>
  <si>
    <t>Work ID</t>
  </si>
  <si>
    <t>Ажлын нэр</t>
  </si>
  <si>
    <t>Хэмжээ</t>
  </si>
  <si>
    <t>Суурь ажлын үнэ</t>
  </si>
  <si>
    <t>ШИНЭ АЖЛЫН ҮНЭ</t>
  </si>
  <si>
    <t>Тээврийн нийт</t>
  </si>
  <si>
    <t>Механизмын нийт</t>
  </si>
  <si>
    <t>НӨАТ %</t>
  </si>
  <si>
    <t>Эх сурвалж</t>
  </si>
  <si>
    <t>Ажлын хөлсний нийт</t>
  </si>
  <si>
    <t>НӨАТ-ын өмнөх дүн</t>
  </si>
  <si>
    <t>НӨАТ</t>
  </si>
  <si>
    <t>Нийт</t>
  </si>
  <si>
    <t>WRK-ALTAI-B-022</t>
  </si>
  <si>
    <t>Бусад ажил</t>
  </si>
  <si>
    <t>АЦӨ-ний ус тусгаарлалт</t>
  </si>
  <si>
    <t>нойл</t>
  </si>
  <si>
    <t>WRK-ALTAI-B-021</t>
  </si>
  <si>
    <t>Аваарын шат суулгах</t>
  </si>
  <si>
    <t>айл</t>
  </si>
  <si>
    <t>WRK-ALTAI-B-058</t>
  </si>
  <si>
    <t>Гарааш хана тэгшилгээ</t>
  </si>
  <si>
    <t>WRK-ALTAI-B-013</t>
  </si>
  <si>
    <t>Дотор бетонон ханын шаврийн ажил</t>
  </si>
  <si>
    <t>WRK-ALTAI-B-012</t>
  </si>
  <si>
    <t>Дотор өргийн ажил /120-240мм/</t>
  </si>
  <si>
    <t>WRK-ALTAI-B-014</t>
  </si>
  <si>
    <t>Дотор өргийн ханын шаврийн ажил</t>
  </si>
  <si>
    <t>WRK-ALTAI-B-002</t>
  </si>
  <si>
    <t>Дулаалгатай дээврийн ажил</t>
  </si>
  <si>
    <t>WRK-ALTAI-B-049</t>
  </si>
  <si>
    <t>Коллекторын хайрцаг суулгах /кор/</t>
  </si>
  <si>
    <t>WRK-ALTAI-B-019</t>
  </si>
  <si>
    <t>Шатны хонгил, марш, нүүр</t>
  </si>
  <si>
    <t>WRK-ALTAI-B-001</t>
  </si>
  <si>
    <t>Гадна ажил</t>
  </si>
  <si>
    <t>Гадна фасадны нийт ажил</t>
  </si>
  <si>
    <t>WRK-ALTAI-B-003</t>
  </si>
  <si>
    <t>Гадна чулуун фасадны ажил</t>
  </si>
  <si>
    <t>WRK-ALTAI-B-061</t>
  </si>
  <si>
    <t>Гарааш гадна хана дулаалга</t>
  </si>
  <si>
    <t>WRK-ALTAI-B-011</t>
  </si>
  <si>
    <t>Инженерийн ажил</t>
  </si>
  <si>
    <t>Галын дохиолол, донофон, гадна холбоо, камер суурилуулалтын ажил</t>
  </si>
  <si>
    <t>WRK-ALTAI-B-005</t>
  </si>
  <si>
    <t>Салхивч угсралтын ажил</t>
  </si>
  <si>
    <t>WRK-ALTAI-B-006</t>
  </si>
  <si>
    <t>Салхивч, бохирын нүх цоолох</t>
  </si>
  <si>
    <t>WRK-ALTAI-B-004</t>
  </si>
  <si>
    <t>Сантехникийн угсралт</t>
  </si>
  <si>
    <t>WRK-ALTAI-B-007</t>
  </si>
  <si>
    <t>УДДТ-ын угсралт</t>
  </si>
  <si>
    <t>WRK-ALTAI-B-008</t>
  </si>
  <si>
    <t>ЦБУ-ны яндан өрөмний ажил - ф110 нүх</t>
  </si>
  <si>
    <t>WRK-ALTAI-B-009</t>
  </si>
  <si>
    <t>ЦБУ-ны яндан өрөмний ажил - ф76  нүх</t>
  </si>
  <si>
    <t>WRK-ALTAI-B-010</t>
  </si>
  <si>
    <t>Цахилгааны ажил</t>
  </si>
  <si>
    <t>WRK-ALTAI-B-064</t>
  </si>
  <si>
    <t>Ложистик ба бусад</t>
  </si>
  <si>
    <t>Барилгын дараах цэвэрлэгээ</t>
  </si>
  <si>
    <t>WRK-ALTAI-B-054</t>
  </si>
  <si>
    <t>Гипсэний ажлын зөөвөр</t>
  </si>
  <si>
    <t>давхар</t>
  </si>
  <si>
    <t>WRK-ALTAI-B-065</t>
  </si>
  <si>
    <t>Магадлашгүй ажлын хөлс</t>
  </si>
  <si>
    <t>%</t>
  </si>
  <si>
    <t>WRK-ALTAI-B-053</t>
  </si>
  <si>
    <t>Шаврын ажлын материалын зөөвөр</t>
  </si>
  <si>
    <t>WRK-ALTAI-B-052</t>
  </si>
  <si>
    <t>Өргийн ажлын материалын зөөвөр</t>
  </si>
  <si>
    <t>WRK-ALTAI-B-050</t>
  </si>
  <si>
    <t>Плита, шал, чулуу</t>
  </si>
  <si>
    <t>АЦӨ-ний босгоны чулуу наах</t>
  </si>
  <si>
    <t>WRK-ALTAI-B-056</t>
  </si>
  <si>
    <t>АЦӨ-ний плита, цавуу зөөвөр</t>
  </si>
  <si>
    <t>WRK-ALTAI-B-023</t>
  </si>
  <si>
    <t>АЦӨ-ний хана плита наах</t>
  </si>
  <si>
    <t>WRK-ALTAI-B-024</t>
  </si>
  <si>
    <t>АЦӨ-ний шал плита наах</t>
  </si>
  <si>
    <t>WRK-ALTAI-B-028</t>
  </si>
  <si>
    <t>Балконы шалны плита /гадна/</t>
  </si>
  <si>
    <t>WRK-ALTAI-B-062</t>
  </si>
  <si>
    <t>В1-р давхрын шалны резинэн будаг</t>
  </si>
  <si>
    <t>WRK-ALTAI-B-025</t>
  </si>
  <si>
    <t>Гал тогооны плита наах ажил</t>
  </si>
  <si>
    <t>WRK-ALTAI-B-020</t>
  </si>
  <si>
    <t>Коридорын чулуу наах ажил</t>
  </si>
  <si>
    <t>WRK-ALTAI-B-043</t>
  </si>
  <si>
    <t>Паркетан шалны ажил</t>
  </si>
  <si>
    <t>WRK-ALTAI-B-057</t>
  </si>
  <si>
    <t>Паркетан шалны зөөвөр</t>
  </si>
  <si>
    <t>WRK-ALTAI-B-046</t>
  </si>
  <si>
    <t>Плита блентүс</t>
  </si>
  <si>
    <t>у.м</t>
  </si>
  <si>
    <t>WRK-ALTAI-B-017</t>
  </si>
  <si>
    <t>Хар шал цутгах ажил</t>
  </si>
  <si>
    <t>WRK-ALTAI-B-055</t>
  </si>
  <si>
    <t>Чулуу, хайрганы зөөвөр</t>
  </si>
  <si>
    <t>WRK-ALTAI-B-026</t>
  </si>
  <si>
    <t>Үйлчилгээ шал плита</t>
  </si>
  <si>
    <t>WRK-ALTAI-B-042</t>
  </si>
  <si>
    <t>Тааз, замаска, будаг</t>
  </si>
  <si>
    <t>АЦӨ-ний лампиран тааз</t>
  </si>
  <si>
    <t>WRK-ALTAI-B-063</t>
  </si>
  <si>
    <t>В1-р давхрын хананы гоёлын эмульс</t>
  </si>
  <si>
    <t>WRK-ALTAI-B-060</t>
  </si>
  <si>
    <t>Гарааш тааз засал /дулаалгатай/</t>
  </si>
  <si>
    <t>WRK-ALTAI-B-059</t>
  </si>
  <si>
    <t>Гарааш хана эмульс /ма+а.хөлс/</t>
  </si>
  <si>
    <t>WRK-ALTAI-B-018</t>
  </si>
  <si>
    <t>Гипсэн тааз</t>
  </si>
  <si>
    <t>WRK-ALTAI-B-029</t>
  </si>
  <si>
    <t>Гипсэн таазны кнауф</t>
  </si>
  <si>
    <t>WRK-ALTAI-B-048</t>
  </si>
  <si>
    <t>Гоёлын хананы эмульс хийх - Коридор</t>
  </si>
  <si>
    <t>WRK-ALTAI-B-047</t>
  </si>
  <si>
    <t>Гоёлын хананы эмульс хийх - Ш.хонгил</t>
  </si>
  <si>
    <t>WRK-ALTAI-B-044</t>
  </si>
  <si>
    <t>Обой наах ажил</t>
  </si>
  <si>
    <t>WRK-ALTAI-B-033</t>
  </si>
  <si>
    <t>Таазны замаска зүлгүүр</t>
  </si>
  <si>
    <t>WRK-ALTAI-B-031</t>
  </si>
  <si>
    <t>Таазны тэгшилгээний ажил</t>
  </si>
  <si>
    <t>WRK-ALTAI-B-032</t>
  </si>
  <si>
    <t>Таазны цагаан замасканы ажил</t>
  </si>
  <si>
    <t>WRK-ALTAI-B-041</t>
  </si>
  <si>
    <t>Таазны эмульс хийх ажил</t>
  </si>
  <si>
    <t>WRK-ALTAI-B-040</t>
  </si>
  <si>
    <t>Хананы замаска зүлгүүр</t>
  </si>
  <si>
    <t>WRK-ALTAI-B-035</t>
  </si>
  <si>
    <t>Хаалга ба гоёл</t>
  </si>
  <si>
    <t>Бүргэд хаалга амалгаа</t>
  </si>
  <si>
    <t>WRK-ALTAI-B-030</t>
  </si>
  <si>
    <t>Гадна бүргэд хаалга суулгах</t>
  </si>
  <si>
    <t>WRK-ALTAI-B-051</t>
  </si>
  <si>
    <t>Гоёлын силикон</t>
  </si>
  <si>
    <t>WRK-ALTAI-B-045</t>
  </si>
  <si>
    <t>Гоёлын хөөсөн хүрээ наах</t>
  </si>
  <si>
    <t>WRK-ALTAI-B-038</t>
  </si>
  <si>
    <t>Лифтний гоёлын амалгаа хийх</t>
  </si>
  <si>
    <t>WRK-ALTAI-B-034</t>
  </si>
  <si>
    <t>Цонхны амалгаа</t>
  </si>
  <si>
    <t>WRK-ALTAI-B-027</t>
  </si>
  <si>
    <t>Цонхны тавцан суулгах ажил</t>
  </si>
  <si>
    <t>WRK-ALTAI-B-039</t>
  </si>
  <si>
    <t>Шатны бариул хийх</t>
  </si>
  <si>
    <t>WRK-ALTAI-B-016</t>
  </si>
  <si>
    <t>Өрөг, шавар, гипс</t>
  </si>
  <si>
    <t>Гипсэн хананы ажил - 1 талдаа</t>
  </si>
  <si>
    <t>WRK-ALTAI-B-015</t>
  </si>
  <si>
    <t>Гипсэн хананы ажил - 2 талдаа</t>
  </si>
  <si>
    <t>WRK-ALTAI-B-036</t>
  </si>
  <si>
    <t>Хананы цагаан замасканы ажил - Гипсэн хана</t>
  </si>
  <si>
    <t>WRK-ALTAI-B-037</t>
  </si>
  <si>
    <t>Хананы цагаан замасканы ажил - Шавар хана</t>
  </si>
  <si>
    <t>Мэдээлэл</t>
  </si>
  <si>
    <t>Шаардлагатай үзүүлэлт</t>
  </si>
  <si>
    <t>Бараа</t>
  </si>
  <si>
    <t>Нэгж жин, нэгж эзлэхүүн, урт/өргөн/өндөр</t>
  </si>
  <si>
    <t>Савлагаа</t>
  </si>
  <si>
    <t>Савлагааны төрөл, нэг багц дахь тоо, паллетын хэмжээ</t>
  </si>
  <si>
    <t>Тээврийн нөхцөл</t>
  </si>
  <si>
    <t>Эмзэг, норж болохгүй, хэт урт, аюултай эсэх</t>
  </si>
  <si>
    <t>Маршрут</t>
  </si>
  <si>
    <t>Ачих газар, буулгах газар, нийт зай</t>
  </si>
  <si>
    <t>Машин</t>
  </si>
  <si>
    <t>Төрөл, даац, кузовын эзлэхүүн, урт</t>
  </si>
  <si>
    <t>Тариф</t>
  </si>
  <si>
    <t>Суурь үнэ, ₮/км, хот доторх үнэ, хоосон буцах зардал</t>
  </si>
  <si>
    <t>Нэмэлт зардал</t>
  </si>
  <si>
    <t>Ачилт, буулгалт, кран, хүлээлт, замын хураамж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</si>
</sst>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NumberFormat="1" applyFont="1" applyFill="1" applyBorder="1"/>
    <xf numFmtId="0" fontId="3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0" fillId="5" borderId="0" xfId="0" applyNumberFormat="1" applyFont="1" applyFill="1" applyBorder="1"/>
    <xf numFmtId="3" fontId="0" fillId="4" borderId="0" xfId="0" applyNumberFormat="1" applyFont="1" applyFill="1" applyBorder="1"/>
    <xf numFmtId="3" fontId="0" fillId="5" borderId="0" xfId="0" applyNumberFormat="1" applyFont="1" applyFill="1" applyBorder="1"/>
    <xf numFmtId="164" fontId="0" fillId="5" borderId="0" xfId="0" applyNumberFormat="1" applyFont="1" applyFill="1" applyBorder="1"/>
    <xf numFmtId="4" fontId="0" fillId="4" borderId="0" xfId="0" applyNumberFormat="1" applyFont="1" applyFill="1" applyBorder="1"/>
    <xf numFmtId="165" fontId="0" fillId="5" borderId="0" xfId="0" applyNumberFormat="1" applyFont="1" applyFill="1" applyBorder="1"/>
    <xf numFmtId="3" fontId="0" fillId="6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/>
    <xf numFmtId="0" fontId="5" fillId="3" borderId="0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1"/>
    </sheetView>
  </sheetViews>
  <sheetFormatPr defaultRowHeight="13.8"/>
  <cols>
    <col min="1" max="1" width="20" customWidth="1"/>
    <col min="2" max="2" width="85" customWidth="1"/>
  </cols>
  <sheetData>
    <row r="1" spans="1:8" ht="24" customHeight="1">
      <c r="A1" s="13" t="s">
        <v>0</v>
      </c>
      <c r="B1" s="13"/>
      <c r="C1" s="13"/>
      <c r="D1" s="13"/>
      <c r="E1" s="13"/>
      <c r="F1" s="13"/>
      <c r="G1" s="13"/>
      <c r="H1" s="13"/>
    </row>
    <row r="3" spans="1:8">
      <c r="A3" s="1" t="s">
        <v>1</v>
      </c>
      <c r="B3" s="1" t="s">
        <v>2</v>
      </c>
    </row>
    <row r="4" spans="1:8">
      <c r="A4" s="2" t="s">
        <v>3</v>
      </c>
      <c r="B4" s="3" t="s">
        <v>4</v>
      </c>
    </row>
    <row r="5" spans="1:8">
      <c r="A5" s="2" t="s">
        <v>5</v>
      </c>
      <c r="B5" s="3" t="s">
        <v>6</v>
      </c>
    </row>
    <row r="6" spans="1:8">
      <c r="A6" s="2" t="s">
        <v>7</v>
      </c>
      <c r="B6" s="3" t="s">
        <v>8</v>
      </c>
    </row>
    <row r="7" spans="1:8">
      <c r="A7" s="2" t="s">
        <v>9</v>
      </c>
      <c r="B7" s="3" t="s">
        <v>10</v>
      </c>
    </row>
    <row r="8" spans="1:8">
      <c r="A8" s="2" t="s">
        <v>11</v>
      </c>
      <c r="B8" s="3" t="s">
        <v>12</v>
      </c>
    </row>
    <row r="9" spans="1:8">
      <c r="A9" s="2" t="s">
        <v>13</v>
      </c>
      <c r="B9" s="3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workbookViewId="0">
      <selection sqref="A1:J1"/>
    </sheetView>
  </sheetViews>
  <sheetFormatPr defaultRowHeight="13.8"/>
  <cols>
    <col min="1" max="2" width="18" customWidth="1"/>
    <col min="3" max="3" width="34" customWidth="1"/>
    <col min="4" max="4" width="10" customWidth="1"/>
    <col min="5" max="5" width="55" customWidth="1"/>
    <col min="6" max="6" width="18" customWidth="1"/>
    <col min="7" max="7" width="20" customWidth="1"/>
    <col min="8" max="8" width="14" customWidth="1"/>
    <col min="9" max="9" width="28" customWidth="1"/>
    <col min="10" max="10" width="24" customWidth="1"/>
  </cols>
  <sheetData>
    <row r="1" spans="1:10" ht="22.35" customHeight="1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4">
      <c r="A2" s="15" t="s">
        <v>16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25.65" customHeight="1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</row>
    <row r="5" spans="1:10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7"/>
      <c r="G5" s="8"/>
      <c r="H5" s="9"/>
      <c r="I5" s="6"/>
      <c r="J5" t="s">
        <v>32</v>
      </c>
    </row>
    <row r="6" spans="1:10">
      <c r="A6" s="5" t="s">
        <v>33</v>
      </c>
      <c r="B6" s="5" t="s">
        <v>28</v>
      </c>
      <c r="C6" s="5" t="s">
        <v>34</v>
      </c>
      <c r="D6" s="5" t="s">
        <v>35</v>
      </c>
      <c r="E6" s="5" t="s">
        <v>36</v>
      </c>
      <c r="F6" s="7"/>
      <c r="G6" s="8"/>
      <c r="H6" s="9"/>
      <c r="I6" s="6"/>
      <c r="J6" t="s">
        <v>32</v>
      </c>
    </row>
    <row r="7" spans="1:10">
      <c r="A7" s="5" t="s">
        <v>37</v>
      </c>
      <c r="B7" s="5" t="s">
        <v>28</v>
      </c>
      <c r="C7" s="5" t="s">
        <v>38</v>
      </c>
      <c r="D7" s="5" t="s">
        <v>30</v>
      </c>
      <c r="E7" s="5" t="s">
        <v>39</v>
      </c>
      <c r="F7" s="7"/>
      <c r="G7" s="8"/>
      <c r="H7" s="9"/>
      <c r="I7" s="6"/>
      <c r="J7" t="s">
        <v>32</v>
      </c>
    </row>
    <row r="8" spans="1:10">
      <c r="A8" s="5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7"/>
      <c r="G8" s="8"/>
      <c r="H8" s="9"/>
      <c r="I8" s="6"/>
      <c r="J8" t="s">
        <v>32</v>
      </c>
    </row>
    <row r="9" spans="1:10">
      <c r="A9" s="5" t="s">
        <v>45</v>
      </c>
      <c r="B9" s="5" t="s">
        <v>41</v>
      </c>
      <c r="C9" s="5" t="s">
        <v>46</v>
      </c>
      <c r="D9" s="5" t="s">
        <v>43</v>
      </c>
      <c r="E9" s="5" t="s">
        <v>47</v>
      </c>
      <c r="F9" s="7"/>
      <c r="G9" s="8"/>
      <c r="H9" s="9"/>
      <c r="I9" s="6"/>
      <c r="J9" t="s">
        <v>32</v>
      </c>
    </row>
    <row r="10" spans="1:10">
      <c r="A10" s="5" t="s">
        <v>48</v>
      </c>
      <c r="B10" s="5" t="s">
        <v>41</v>
      </c>
      <c r="C10" s="5" t="s">
        <v>49</v>
      </c>
      <c r="D10" s="5" t="s">
        <v>50</v>
      </c>
      <c r="E10" s="5" t="s">
        <v>51</v>
      </c>
      <c r="F10" s="7"/>
      <c r="G10" s="8"/>
      <c r="H10" s="9"/>
      <c r="I10" s="6"/>
      <c r="J10" t="s">
        <v>32</v>
      </c>
    </row>
    <row r="11" spans="1:10">
      <c r="A11" s="5" t="s">
        <v>52</v>
      </c>
      <c r="B11" s="5" t="s">
        <v>41</v>
      </c>
      <c r="C11" s="5" t="s">
        <v>53</v>
      </c>
      <c r="D11" s="5" t="s">
        <v>54</v>
      </c>
      <c r="E11" s="5" t="s">
        <v>55</v>
      </c>
      <c r="F11" s="7"/>
      <c r="G11" s="8"/>
      <c r="H11" s="9"/>
      <c r="I11" s="6"/>
      <c r="J11" t="s">
        <v>32</v>
      </c>
    </row>
    <row r="12" spans="1:10">
      <c r="A12" s="5" t="s">
        <v>56</v>
      </c>
      <c r="B12" s="5" t="s">
        <v>41</v>
      </c>
      <c r="C12" s="5" t="s">
        <v>57</v>
      </c>
      <c r="D12" s="5" t="s">
        <v>58</v>
      </c>
      <c r="E12" s="5" t="s">
        <v>59</v>
      </c>
      <c r="F12" s="7"/>
      <c r="G12" s="8"/>
      <c r="H12" s="9"/>
      <c r="I12" s="6"/>
      <c r="J12" t="s">
        <v>32</v>
      </c>
    </row>
    <row r="13" spans="1:10">
      <c r="A13" s="5" t="s">
        <v>60</v>
      </c>
      <c r="B13" s="5" t="s">
        <v>41</v>
      </c>
      <c r="C13" s="5" t="s">
        <v>61</v>
      </c>
      <c r="D13" s="5" t="s">
        <v>58</v>
      </c>
      <c r="E13" s="5" t="s">
        <v>62</v>
      </c>
      <c r="F13" s="7"/>
      <c r="G13" s="8"/>
      <c r="H13" s="9"/>
      <c r="I13" s="6"/>
      <c r="J13" t="s">
        <v>32</v>
      </c>
    </row>
    <row r="14" spans="1:10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7"/>
      <c r="G14" s="8"/>
      <c r="H14" s="9"/>
      <c r="I14" s="6"/>
      <c r="J14" t="s">
        <v>32</v>
      </c>
    </row>
    <row r="15" spans="1:10">
      <c r="A15" s="5" t="s">
        <v>68</v>
      </c>
      <c r="B15" s="5" t="s">
        <v>69</v>
      </c>
      <c r="C15" s="5" t="s">
        <v>70</v>
      </c>
      <c r="D15" s="5" t="s">
        <v>54</v>
      </c>
      <c r="E15" s="5" t="s">
        <v>71</v>
      </c>
      <c r="F15" s="7"/>
      <c r="G15" s="8"/>
      <c r="H15" s="9"/>
      <c r="I15" s="6"/>
      <c r="J15" t="s">
        <v>32</v>
      </c>
    </row>
    <row r="16" spans="1:10">
      <c r="A16" s="5" t="s">
        <v>72</v>
      </c>
      <c r="B16" s="5" t="s">
        <v>69</v>
      </c>
      <c r="C16" s="5" t="s">
        <v>73</v>
      </c>
      <c r="D16" s="5" t="s">
        <v>43</v>
      </c>
      <c r="E16" s="5" t="s">
        <v>74</v>
      </c>
      <c r="F16" s="7"/>
      <c r="G16" s="8"/>
      <c r="H16" s="9"/>
      <c r="I16" s="6"/>
      <c r="J16" t="s">
        <v>32</v>
      </c>
    </row>
    <row r="17" spans="1:10">
      <c r="A17" s="5" t="s">
        <v>75</v>
      </c>
      <c r="B17" s="5" t="s">
        <v>69</v>
      </c>
      <c r="C17" s="5" t="s">
        <v>76</v>
      </c>
      <c r="D17" s="5" t="s">
        <v>43</v>
      </c>
      <c r="E17" s="5" t="s">
        <v>77</v>
      </c>
      <c r="F17" s="7"/>
      <c r="G17" s="8"/>
      <c r="H17" s="9"/>
      <c r="I17" s="6"/>
      <c r="J17" t="s">
        <v>32</v>
      </c>
    </row>
    <row r="18" spans="1:10">
      <c r="A18" s="5" t="s">
        <v>78</v>
      </c>
      <c r="B18" s="5" t="s">
        <v>69</v>
      </c>
      <c r="C18" s="5" t="s">
        <v>79</v>
      </c>
      <c r="D18" s="5" t="s">
        <v>58</v>
      </c>
      <c r="E18" s="5" t="s">
        <v>80</v>
      </c>
      <c r="F18" s="7"/>
      <c r="G18" s="8"/>
      <c r="H18" s="9"/>
      <c r="I18" s="6"/>
      <c r="J18" t="s">
        <v>32</v>
      </c>
    </row>
    <row r="19" spans="1:10">
      <c r="A19" s="5" t="s">
        <v>81</v>
      </c>
      <c r="B19" s="5" t="s">
        <v>69</v>
      </c>
      <c r="C19" s="5" t="s">
        <v>82</v>
      </c>
      <c r="D19" s="5" t="s">
        <v>50</v>
      </c>
      <c r="E19" s="5" t="s">
        <v>83</v>
      </c>
      <c r="F19" s="7"/>
      <c r="G19" s="8"/>
      <c r="H19" s="9"/>
      <c r="I19" s="6"/>
      <c r="J19" t="s">
        <v>32</v>
      </c>
    </row>
    <row r="20" spans="1:10">
      <c r="A20" s="5" t="s">
        <v>84</v>
      </c>
      <c r="B20" s="5" t="s">
        <v>69</v>
      </c>
      <c r="C20" s="5" t="s">
        <v>85</v>
      </c>
      <c r="D20" s="5" t="s">
        <v>54</v>
      </c>
      <c r="E20" s="5" t="s">
        <v>86</v>
      </c>
      <c r="F20" s="7"/>
      <c r="G20" s="8"/>
      <c r="H20" s="9"/>
      <c r="I20" s="6"/>
      <c r="J20" t="s">
        <v>32</v>
      </c>
    </row>
    <row r="21" spans="1:10">
      <c r="A21" s="5" t="s">
        <v>87</v>
      </c>
      <c r="B21" s="5" t="s">
        <v>69</v>
      </c>
      <c r="C21" s="5" t="s">
        <v>88</v>
      </c>
      <c r="D21" s="5" t="s">
        <v>54</v>
      </c>
      <c r="E21" s="5" t="s">
        <v>89</v>
      </c>
      <c r="F21" s="7"/>
      <c r="G21" s="8"/>
      <c r="H21" s="9"/>
      <c r="I21" s="6"/>
      <c r="J21" t="s">
        <v>32</v>
      </c>
    </row>
    <row r="22" spans="1:10">
      <c r="A22" s="5" t="s">
        <v>90</v>
      </c>
      <c r="B22" s="5" t="s">
        <v>91</v>
      </c>
      <c r="C22" s="5" t="s">
        <v>92</v>
      </c>
      <c r="D22" s="5" t="s">
        <v>50</v>
      </c>
      <c r="E22" s="5" t="s">
        <v>93</v>
      </c>
      <c r="F22" s="7"/>
      <c r="G22" s="8"/>
      <c r="H22" s="9"/>
      <c r="I22" s="6"/>
      <c r="J22" t="s">
        <v>32</v>
      </c>
    </row>
    <row r="23" spans="1:10">
      <c r="A23" s="5" t="s">
        <v>94</v>
      </c>
      <c r="B23" s="5" t="s">
        <v>91</v>
      </c>
      <c r="C23" s="5" t="s">
        <v>95</v>
      </c>
      <c r="D23" s="5" t="s">
        <v>50</v>
      </c>
      <c r="E23" s="5" t="s">
        <v>96</v>
      </c>
      <c r="F23" s="7"/>
      <c r="G23" s="8"/>
      <c r="H23" s="9"/>
      <c r="I23" s="6"/>
      <c r="J23" t="s">
        <v>32</v>
      </c>
    </row>
    <row r="24" spans="1:10">
      <c r="A24" s="5" t="s">
        <v>97</v>
      </c>
      <c r="B24" s="5" t="s">
        <v>91</v>
      </c>
      <c r="C24" s="5" t="s">
        <v>98</v>
      </c>
      <c r="D24" s="5" t="s">
        <v>50</v>
      </c>
      <c r="E24" s="5" t="s">
        <v>99</v>
      </c>
      <c r="F24" s="7"/>
      <c r="G24" s="8"/>
      <c r="H24" s="9"/>
      <c r="I24" s="6"/>
      <c r="J24" t="s">
        <v>32</v>
      </c>
    </row>
    <row r="25" spans="1:10">
      <c r="A25" s="5" t="s">
        <v>100</v>
      </c>
      <c r="B25" s="5" t="s">
        <v>91</v>
      </c>
      <c r="C25" s="5" t="s">
        <v>101</v>
      </c>
      <c r="D25" s="5" t="s">
        <v>66</v>
      </c>
      <c r="E25" s="5" t="s">
        <v>102</v>
      </c>
      <c r="F25" s="7"/>
      <c r="G25" s="8"/>
      <c r="H25" s="9"/>
      <c r="I25" s="6"/>
      <c r="J25" t="s">
        <v>32</v>
      </c>
    </row>
    <row r="26" spans="1:10">
      <c r="A26" s="5" t="s">
        <v>103</v>
      </c>
      <c r="B26" s="5" t="s">
        <v>91</v>
      </c>
      <c r="C26" s="5" t="s">
        <v>104</v>
      </c>
      <c r="D26" s="5" t="s">
        <v>50</v>
      </c>
      <c r="E26" s="5" t="s">
        <v>105</v>
      </c>
      <c r="F26" s="7"/>
      <c r="G26" s="8"/>
      <c r="H26" s="9"/>
      <c r="I26" s="6"/>
      <c r="J26" t="s">
        <v>32</v>
      </c>
    </row>
    <row r="27" spans="1:10">
      <c r="A27" s="5" t="s">
        <v>106</v>
      </c>
      <c r="B27" s="5" t="s">
        <v>91</v>
      </c>
      <c r="C27" s="5" t="s">
        <v>107</v>
      </c>
      <c r="D27" s="5" t="s">
        <v>50</v>
      </c>
      <c r="E27" s="5" t="s">
        <v>108</v>
      </c>
      <c r="F27" s="7"/>
      <c r="G27" s="8"/>
      <c r="H27" s="9"/>
      <c r="I27" s="6"/>
      <c r="J27" t="s">
        <v>32</v>
      </c>
    </row>
    <row r="28" spans="1:10">
      <c r="A28" s="5" t="s">
        <v>109</v>
      </c>
      <c r="B28" s="5" t="s">
        <v>91</v>
      </c>
      <c r="C28" s="5" t="s">
        <v>110</v>
      </c>
      <c r="D28" s="5" t="s">
        <v>50</v>
      </c>
      <c r="E28" s="5" t="s">
        <v>111</v>
      </c>
      <c r="F28" s="7"/>
      <c r="G28" s="8"/>
      <c r="H28" s="9"/>
      <c r="I28" s="6"/>
      <c r="J28" t="s">
        <v>32</v>
      </c>
    </row>
    <row r="29" spans="1:10">
      <c r="A29" s="5" t="s">
        <v>112</v>
      </c>
      <c r="B29" s="5" t="s">
        <v>113</v>
      </c>
      <c r="C29" s="5" t="s">
        <v>114</v>
      </c>
      <c r="D29" s="5" t="s">
        <v>30</v>
      </c>
      <c r="E29" s="5" t="s">
        <v>115</v>
      </c>
      <c r="F29" s="7"/>
      <c r="G29" s="8"/>
      <c r="H29" s="9"/>
      <c r="I29" s="6"/>
      <c r="J29" t="s">
        <v>32</v>
      </c>
    </row>
    <row r="30" spans="1:10">
      <c r="A30" s="5" t="s">
        <v>116</v>
      </c>
      <c r="B30" s="5" t="s">
        <v>117</v>
      </c>
      <c r="C30" s="5" t="s">
        <v>118</v>
      </c>
      <c r="D30" s="5" t="s">
        <v>35</v>
      </c>
      <c r="E30" s="5" t="s">
        <v>119</v>
      </c>
      <c r="F30" s="7"/>
      <c r="G30" s="8"/>
      <c r="H30" s="9"/>
      <c r="I30" s="6"/>
      <c r="J30" t="s">
        <v>32</v>
      </c>
    </row>
    <row r="31" spans="1:10">
      <c r="A31" s="5" t="s">
        <v>120</v>
      </c>
      <c r="B31" s="5" t="s">
        <v>117</v>
      </c>
      <c r="C31" s="5" t="s">
        <v>121</v>
      </c>
      <c r="D31" s="5" t="s">
        <v>54</v>
      </c>
      <c r="E31" s="5" t="s">
        <v>122</v>
      </c>
      <c r="F31" s="7"/>
      <c r="G31" s="8"/>
      <c r="H31" s="9"/>
      <c r="I31" s="6"/>
      <c r="J31" t="s">
        <v>32</v>
      </c>
    </row>
    <row r="32" spans="1:10">
      <c r="A32" s="5" t="s">
        <v>123</v>
      </c>
      <c r="B32" s="5" t="s">
        <v>117</v>
      </c>
      <c r="C32" s="5" t="s">
        <v>124</v>
      </c>
      <c r="D32" s="5" t="s">
        <v>30</v>
      </c>
      <c r="E32" s="5" t="s">
        <v>125</v>
      </c>
      <c r="F32" s="7"/>
      <c r="G32" s="8"/>
      <c r="H32" s="9"/>
      <c r="I32" s="6"/>
      <c r="J32" t="s">
        <v>32</v>
      </c>
    </row>
    <row r="33" spans="1:10">
      <c r="A33" s="5" t="s">
        <v>126</v>
      </c>
      <c r="B33" s="5" t="s">
        <v>117</v>
      </c>
      <c r="C33" s="5" t="s">
        <v>127</v>
      </c>
      <c r="D33" s="5" t="s">
        <v>35</v>
      </c>
      <c r="E33" s="5" t="s">
        <v>128</v>
      </c>
      <c r="F33" s="7"/>
      <c r="G33" s="8"/>
      <c r="H33" s="9"/>
      <c r="I33" s="6"/>
      <c r="J33" t="s">
        <v>32</v>
      </c>
    </row>
    <row r="34" spans="1:10">
      <c r="A34" s="5" t="s">
        <v>129</v>
      </c>
      <c r="B34" s="5" t="s">
        <v>130</v>
      </c>
      <c r="C34" s="5" t="s">
        <v>131</v>
      </c>
      <c r="D34" s="5" t="s">
        <v>54</v>
      </c>
      <c r="E34" s="5" t="s">
        <v>132</v>
      </c>
      <c r="F34" s="7"/>
      <c r="G34" s="8"/>
      <c r="H34" s="9"/>
      <c r="I34" s="6"/>
      <c r="J34" t="s">
        <v>32</v>
      </c>
    </row>
    <row r="35" spans="1:10">
      <c r="A35" s="5" t="s">
        <v>133</v>
      </c>
      <c r="B35" s="5" t="s">
        <v>130</v>
      </c>
      <c r="C35" s="5" t="s">
        <v>134</v>
      </c>
      <c r="D35" s="5" t="s">
        <v>43</v>
      </c>
      <c r="E35" s="5" t="s">
        <v>135</v>
      </c>
      <c r="F35" s="7"/>
      <c r="G35" s="8"/>
      <c r="H35" s="9"/>
      <c r="I35" s="6"/>
      <c r="J35" t="s">
        <v>32</v>
      </c>
    </row>
    <row r="36" spans="1:10">
      <c r="A36" s="5" t="s">
        <v>136</v>
      </c>
      <c r="B36" s="5" t="s">
        <v>130</v>
      </c>
      <c r="C36" s="5" t="s">
        <v>137</v>
      </c>
      <c r="D36" s="5" t="s">
        <v>50</v>
      </c>
      <c r="E36" s="5" t="s">
        <v>138</v>
      </c>
      <c r="F36" s="7"/>
      <c r="G36" s="8"/>
      <c r="H36" s="9"/>
      <c r="I36" s="6"/>
      <c r="J36" t="s">
        <v>32</v>
      </c>
    </row>
    <row r="37" spans="1:10">
      <c r="A37" s="5" t="s">
        <v>139</v>
      </c>
      <c r="B37" s="5" t="s">
        <v>130</v>
      </c>
      <c r="C37" s="5" t="s">
        <v>140</v>
      </c>
      <c r="D37" s="5" t="s">
        <v>54</v>
      </c>
      <c r="E37" s="5" t="s">
        <v>141</v>
      </c>
      <c r="F37" s="7"/>
      <c r="G37" s="8"/>
      <c r="H37" s="9"/>
      <c r="I37" s="6"/>
      <c r="J37" t="s">
        <v>32</v>
      </c>
    </row>
    <row r="38" spans="1:10">
      <c r="A38" s="5" t="s">
        <v>142</v>
      </c>
      <c r="B38" s="5" t="s">
        <v>130</v>
      </c>
      <c r="C38" s="5" t="s">
        <v>143</v>
      </c>
      <c r="D38" s="5" t="s">
        <v>54</v>
      </c>
      <c r="E38" s="5" t="s">
        <v>144</v>
      </c>
      <c r="F38" s="7"/>
      <c r="G38" s="8"/>
      <c r="H38" s="9"/>
      <c r="I38" s="6"/>
      <c r="J38" t="s">
        <v>32</v>
      </c>
    </row>
    <row r="39" spans="1:10">
      <c r="A39" s="5" t="s">
        <v>145</v>
      </c>
      <c r="B39" s="5" t="s">
        <v>130</v>
      </c>
      <c r="C39" s="5" t="s">
        <v>146</v>
      </c>
      <c r="D39" s="5" t="s">
        <v>54</v>
      </c>
      <c r="E39" s="5" t="s">
        <v>147</v>
      </c>
      <c r="F39" s="7"/>
      <c r="G39" s="8"/>
      <c r="H39" s="9"/>
      <c r="I39" s="6"/>
      <c r="J39" t="s">
        <v>32</v>
      </c>
    </row>
    <row r="40" spans="1:10">
      <c r="A40" s="5" t="s">
        <v>148</v>
      </c>
      <c r="B40" s="5" t="s">
        <v>149</v>
      </c>
      <c r="C40" s="5" t="s">
        <v>150</v>
      </c>
      <c r="D40" s="5" t="s">
        <v>50</v>
      </c>
      <c r="E40" s="5" t="s">
        <v>151</v>
      </c>
      <c r="F40" s="7"/>
      <c r="G40" s="8"/>
      <c r="H40" s="9"/>
      <c r="I40" s="6"/>
      <c r="J40" t="s">
        <v>32</v>
      </c>
    </row>
    <row r="41" spans="1:10">
      <c r="A41" s="5" t="s">
        <v>152</v>
      </c>
      <c r="B41" s="5" t="s">
        <v>149</v>
      </c>
      <c r="C41" s="5" t="s">
        <v>153</v>
      </c>
      <c r="D41" s="5" t="s">
        <v>50</v>
      </c>
      <c r="E41" s="5" t="s">
        <v>154</v>
      </c>
      <c r="F41" s="7"/>
      <c r="G41" s="8"/>
      <c r="H41" s="9"/>
      <c r="I41" s="6"/>
      <c r="J41" t="s">
        <v>32</v>
      </c>
    </row>
    <row r="42" spans="1:10">
      <c r="A42" s="5" t="s">
        <v>155</v>
      </c>
      <c r="B42" s="5" t="s">
        <v>149</v>
      </c>
      <c r="C42" s="5" t="s">
        <v>156</v>
      </c>
      <c r="D42" s="5" t="s">
        <v>50</v>
      </c>
      <c r="E42" s="5" t="s">
        <v>157</v>
      </c>
      <c r="F42" s="7"/>
      <c r="G42" s="8"/>
      <c r="H42" s="9"/>
      <c r="I42" s="6"/>
      <c r="J42" t="s">
        <v>32</v>
      </c>
    </row>
    <row r="43" spans="1:10">
      <c r="A43" s="5" t="s">
        <v>158</v>
      </c>
      <c r="B43" s="5" t="s">
        <v>149</v>
      </c>
      <c r="C43" s="5" t="s">
        <v>159</v>
      </c>
      <c r="D43" s="5" t="s">
        <v>160</v>
      </c>
      <c r="E43" s="5" t="s">
        <v>161</v>
      </c>
      <c r="F43" s="7"/>
      <c r="G43" s="8"/>
      <c r="H43" s="9"/>
      <c r="I43" s="6"/>
      <c r="J43" t="s">
        <v>32</v>
      </c>
    </row>
    <row r="44" spans="1:10">
      <c r="A44" s="5" t="s">
        <v>162</v>
      </c>
      <c r="B44" s="5" t="s">
        <v>149</v>
      </c>
      <c r="C44" s="5" t="s">
        <v>163</v>
      </c>
      <c r="D44" s="5" t="s">
        <v>54</v>
      </c>
      <c r="E44" s="5" t="s">
        <v>164</v>
      </c>
      <c r="F44" s="7"/>
      <c r="G44" s="8"/>
      <c r="H44" s="9"/>
      <c r="I44" s="6"/>
      <c r="J44" t="s">
        <v>32</v>
      </c>
    </row>
    <row r="45" spans="1:10">
      <c r="A45" s="5" t="s">
        <v>165</v>
      </c>
      <c r="B45" s="5" t="s">
        <v>149</v>
      </c>
      <c r="C45" s="5" t="s">
        <v>166</v>
      </c>
      <c r="D45" s="5" t="s">
        <v>50</v>
      </c>
      <c r="E45" s="5" t="s">
        <v>167</v>
      </c>
      <c r="F45" s="7"/>
      <c r="G45" s="8"/>
      <c r="H45" s="9"/>
      <c r="I45" s="6"/>
      <c r="J45" t="s">
        <v>32</v>
      </c>
    </row>
    <row r="46" spans="1:10">
      <c r="A46" s="5" t="s">
        <v>168</v>
      </c>
      <c r="B46" s="5" t="s">
        <v>169</v>
      </c>
      <c r="C46" s="5" t="s">
        <v>170</v>
      </c>
      <c r="D46" s="5" t="s">
        <v>58</v>
      </c>
      <c r="E46" s="5" t="s">
        <v>171</v>
      </c>
      <c r="F46" s="7"/>
      <c r="G46" s="8"/>
      <c r="H46" s="9"/>
      <c r="I46" s="6"/>
      <c r="J46" t="s">
        <v>32</v>
      </c>
    </row>
    <row r="47" spans="1:10">
      <c r="A47" s="5" t="s">
        <v>172</v>
      </c>
      <c r="B47" s="5" t="s">
        <v>169</v>
      </c>
      <c r="C47" s="5" t="s">
        <v>173</v>
      </c>
      <c r="D47" s="5" t="s">
        <v>43</v>
      </c>
      <c r="E47" s="5" t="s">
        <v>174</v>
      </c>
      <c r="F47" s="7"/>
      <c r="G47" s="8"/>
      <c r="H47" s="9"/>
      <c r="I47" s="6"/>
      <c r="J47" t="s">
        <v>32</v>
      </c>
    </row>
    <row r="48" spans="1:10">
      <c r="A48" s="5" t="s">
        <v>175</v>
      </c>
      <c r="B48" s="5" t="s">
        <v>169</v>
      </c>
      <c r="C48" s="5" t="s">
        <v>176</v>
      </c>
      <c r="D48" s="5" t="s">
        <v>35</v>
      </c>
      <c r="E48" s="5" t="s">
        <v>177</v>
      </c>
      <c r="F48" s="7"/>
      <c r="G48" s="8"/>
      <c r="H48" s="9"/>
      <c r="I48" s="6"/>
      <c r="J48" t="s">
        <v>32</v>
      </c>
    </row>
    <row r="49" spans="1:10">
      <c r="A49" s="5" t="s">
        <v>178</v>
      </c>
      <c r="B49" s="5" t="s">
        <v>169</v>
      </c>
      <c r="C49" s="5" t="s">
        <v>179</v>
      </c>
      <c r="D49" s="5" t="s">
        <v>50</v>
      </c>
      <c r="E49" s="5" t="s">
        <v>180</v>
      </c>
      <c r="F49" s="7"/>
      <c r="G49" s="8"/>
      <c r="H49" s="9"/>
      <c r="I49" s="6"/>
      <c r="J49" t="s">
        <v>32</v>
      </c>
    </row>
    <row r="50" spans="1:10">
      <c r="A50" s="5" t="s">
        <v>181</v>
      </c>
      <c r="B50" s="5" t="s">
        <v>182</v>
      </c>
      <c r="C50" s="5" t="s">
        <v>183</v>
      </c>
      <c r="D50" s="5" t="s">
        <v>50</v>
      </c>
      <c r="E50" s="5" t="s">
        <v>184</v>
      </c>
      <c r="F50" s="7"/>
      <c r="G50" s="8"/>
      <c r="H50" s="9"/>
      <c r="I50" s="6"/>
      <c r="J50" t="s">
        <v>32</v>
      </c>
    </row>
    <row r="51" spans="1:10">
      <c r="A51" s="5" t="s">
        <v>185</v>
      </c>
      <c r="B51" s="5" t="s">
        <v>186</v>
      </c>
      <c r="C51" s="5" t="s">
        <v>187</v>
      </c>
      <c r="D51" s="5" t="s">
        <v>30</v>
      </c>
      <c r="E51" s="5" t="s">
        <v>188</v>
      </c>
      <c r="F51" s="7"/>
      <c r="G51" s="8"/>
      <c r="H51" s="9"/>
      <c r="I51" s="6"/>
      <c r="J51" t="s">
        <v>32</v>
      </c>
    </row>
    <row r="52" spans="1:10">
      <c r="A52" s="5" t="s">
        <v>189</v>
      </c>
      <c r="B52" s="5" t="s">
        <v>186</v>
      </c>
      <c r="C52" s="5" t="s">
        <v>190</v>
      </c>
      <c r="D52" s="5" t="s">
        <v>50</v>
      </c>
      <c r="E52" s="5" t="s">
        <v>191</v>
      </c>
      <c r="F52" s="7"/>
      <c r="G52" s="8"/>
      <c r="H52" s="9"/>
      <c r="I52" s="6"/>
      <c r="J52" t="s">
        <v>32</v>
      </c>
    </row>
    <row r="53" spans="1:10">
      <c r="A53" s="5" t="s">
        <v>192</v>
      </c>
      <c r="B53" s="5" t="s">
        <v>186</v>
      </c>
      <c r="C53" s="5" t="s">
        <v>193</v>
      </c>
      <c r="D53" s="5" t="s">
        <v>58</v>
      </c>
      <c r="E53" s="5" t="s">
        <v>194</v>
      </c>
      <c r="F53" s="7"/>
      <c r="G53" s="8"/>
      <c r="H53" s="9"/>
      <c r="I53" s="6"/>
      <c r="J53" t="s">
        <v>32</v>
      </c>
    </row>
    <row r="54" spans="1:10">
      <c r="A54" s="5" t="s">
        <v>195</v>
      </c>
      <c r="B54" s="5" t="s">
        <v>186</v>
      </c>
      <c r="C54" s="5" t="s">
        <v>196</v>
      </c>
      <c r="D54" s="5" t="s">
        <v>54</v>
      </c>
      <c r="E54" s="5" t="s">
        <v>197</v>
      </c>
      <c r="F54" s="7"/>
      <c r="G54" s="8"/>
      <c r="H54" s="9"/>
      <c r="I54" s="6"/>
      <c r="J54" t="s">
        <v>32</v>
      </c>
    </row>
    <row r="55" spans="1:10">
      <c r="A55" s="5" t="s">
        <v>198</v>
      </c>
      <c r="B55" s="5" t="s">
        <v>186</v>
      </c>
      <c r="C55" s="5" t="s">
        <v>199</v>
      </c>
      <c r="D55" s="5" t="s">
        <v>54</v>
      </c>
      <c r="E55" s="5" t="s">
        <v>200</v>
      </c>
      <c r="F55" s="7"/>
      <c r="G55" s="8"/>
      <c r="H55" s="9"/>
      <c r="I55" s="6"/>
      <c r="J55" t="s">
        <v>32</v>
      </c>
    </row>
    <row r="56" spans="1:10">
      <c r="A56" s="5" t="s">
        <v>201</v>
      </c>
      <c r="B56" s="5" t="s">
        <v>186</v>
      </c>
      <c r="C56" s="5" t="s">
        <v>202</v>
      </c>
      <c r="D56" s="5" t="s">
        <v>54</v>
      </c>
      <c r="E56" s="5" t="s">
        <v>203</v>
      </c>
      <c r="F56" s="7"/>
      <c r="G56" s="8"/>
      <c r="H56" s="9"/>
      <c r="I56" s="6"/>
      <c r="J56" t="s">
        <v>32</v>
      </c>
    </row>
    <row r="57" spans="1:10">
      <c r="A57" s="5" t="s">
        <v>204</v>
      </c>
      <c r="B57" s="5" t="s">
        <v>186</v>
      </c>
      <c r="C57" s="5" t="s">
        <v>205</v>
      </c>
      <c r="D57" s="5" t="s">
        <v>58</v>
      </c>
      <c r="E57" s="5" t="s">
        <v>206</v>
      </c>
      <c r="F57" s="7"/>
      <c r="G57" s="8"/>
      <c r="H57" s="9"/>
      <c r="I57" s="6"/>
      <c r="J57" t="s">
        <v>32</v>
      </c>
    </row>
    <row r="58" spans="1:10">
      <c r="A58" s="5" t="s">
        <v>207</v>
      </c>
      <c r="B58" s="5" t="s">
        <v>208</v>
      </c>
      <c r="C58" s="5" t="s">
        <v>209</v>
      </c>
      <c r="D58" s="5" t="s">
        <v>50</v>
      </c>
      <c r="E58" s="5" t="s">
        <v>210</v>
      </c>
      <c r="F58" s="7"/>
      <c r="G58" s="8"/>
      <c r="H58" s="9"/>
      <c r="I58" s="6"/>
      <c r="J58" t="s">
        <v>32</v>
      </c>
    </row>
    <row r="59" spans="1:10">
      <c r="A59" s="5" t="s">
        <v>211</v>
      </c>
      <c r="B59" s="5" t="s">
        <v>208</v>
      </c>
      <c r="C59" s="5" t="s">
        <v>212</v>
      </c>
      <c r="D59" s="5" t="s">
        <v>50</v>
      </c>
      <c r="E59" s="5" t="s">
        <v>213</v>
      </c>
      <c r="F59" s="7"/>
      <c r="G59" s="8"/>
      <c r="H59" s="9"/>
      <c r="I59" s="6"/>
      <c r="J59" t="s">
        <v>32</v>
      </c>
    </row>
    <row r="60" spans="1:10">
      <c r="A60" s="5" t="s">
        <v>214</v>
      </c>
      <c r="B60" s="5" t="s">
        <v>208</v>
      </c>
      <c r="C60" s="5" t="s">
        <v>215</v>
      </c>
      <c r="D60" s="5" t="s">
        <v>50</v>
      </c>
      <c r="E60" s="5" t="s">
        <v>216</v>
      </c>
      <c r="F60" s="7"/>
      <c r="G60" s="8"/>
      <c r="H60" s="9"/>
      <c r="I60" s="6"/>
      <c r="J60" t="s">
        <v>32</v>
      </c>
    </row>
    <row r="61" spans="1:10">
      <c r="A61" s="5" t="s">
        <v>217</v>
      </c>
      <c r="B61" s="5" t="s">
        <v>208</v>
      </c>
      <c r="C61" s="5" t="s">
        <v>218</v>
      </c>
      <c r="D61" s="5" t="s">
        <v>35</v>
      </c>
      <c r="E61" s="5" t="s">
        <v>219</v>
      </c>
      <c r="F61" s="7"/>
      <c r="G61" s="8"/>
      <c r="H61" s="9"/>
      <c r="I61" s="6"/>
      <c r="J61" t="s">
        <v>32</v>
      </c>
    </row>
    <row r="62" spans="1:10">
      <c r="A62" s="5" t="s">
        <v>220</v>
      </c>
      <c r="B62" s="5" t="s">
        <v>208</v>
      </c>
      <c r="C62" s="5" t="s">
        <v>221</v>
      </c>
      <c r="D62" s="5" t="s">
        <v>54</v>
      </c>
      <c r="E62" s="5" t="s">
        <v>222</v>
      </c>
      <c r="F62" s="7"/>
      <c r="G62" s="8"/>
      <c r="H62" s="9"/>
      <c r="I62" s="6"/>
      <c r="J62" t="s">
        <v>32</v>
      </c>
    </row>
    <row r="63" spans="1:10">
      <c r="A63" s="5" t="s">
        <v>223</v>
      </c>
      <c r="B63" s="5" t="s">
        <v>208</v>
      </c>
      <c r="C63" s="5" t="s">
        <v>224</v>
      </c>
      <c r="D63" s="5" t="s">
        <v>66</v>
      </c>
      <c r="E63" s="5" t="s">
        <v>225</v>
      </c>
      <c r="F63" s="7"/>
      <c r="G63" s="8"/>
      <c r="H63" s="9"/>
      <c r="I63" s="6"/>
      <c r="J63" t="s">
        <v>32</v>
      </c>
    </row>
    <row r="64" spans="1:10">
      <c r="A64" s="5" t="s">
        <v>226</v>
      </c>
      <c r="B64" s="5" t="s">
        <v>208</v>
      </c>
      <c r="C64" s="5" t="s">
        <v>227</v>
      </c>
      <c r="D64" s="5" t="s">
        <v>50</v>
      </c>
      <c r="E64" s="5" t="s">
        <v>228</v>
      </c>
      <c r="F64" s="7"/>
      <c r="G64" s="8"/>
      <c r="H64" s="9"/>
      <c r="I64" s="6"/>
      <c r="J64" t="s">
        <v>32</v>
      </c>
    </row>
    <row r="65" spans="1:10">
      <c r="A65" s="5" t="s">
        <v>229</v>
      </c>
      <c r="B65" s="5" t="s">
        <v>208</v>
      </c>
      <c r="C65" s="5" t="s">
        <v>230</v>
      </c>
      <c r="D65" s="5" t="s">
        <v>35</v>
      </c>
      <c r="E65" s="5" t="s">
        <v>231</v>
      </c>
      <c r="F65" s="7"/>
      <c r="G65" s="8"/>
      <c r="H65" s="9"/>
      <c r="I65" s="6"/>
      <c r="J65" t="s">
        <v>32</v>
      </c>
    </row>
    <row r="66" spans="1:10">
      <c r="A66" s="5" t="s">
        <v>232</v>
      </c>
      <c r="B66" s="5" t="s">
        <v>208</v>
      </c>
      <c r="C66" s="5" t="s">
        <v>233</v>
      </c>
      <c r="D66" s="5" t="s">
        <v>54</v>
      </c>
      <c r="E66" s="5" t="s">
        <v>234</v>
      </c>
      <c r="F66" s="7"/>
      <c r="G66" s="8"/>
      <c r="H66" s="9"/>
      <c r="I66" s="6"/>
      <c r="J66" t="s">
        <v>32</v>
      </c>
    </row>
    <row r="67" spans="1:10">
      <c r="A67" s="5" t="s">
        <v>235</v>
      </c>
      <c r="B67" s="5" t="s">
        <v>208</v>
      </c>
      <c r="C67" s="5" t="s">
        <v>236</v>
      </c>
      <c r="D67" s="5" t="s">
        <v>50</v>
      </c>
      <c r="E67" s="5" t="s">
        <v>237</v>
      </c>
      <c r="F67" s="7"/>
      <c r="G67" s="8"/>
      <c r="H67" s="9"/>
      <c r="I67" s="6"/>
      <c r="J67" t="s">
        <v>32</v>
      </c>
    </row>
    <row r="68" spans="1:10">
      <c r="A68" s="5" t="s">
        <v>238</v>
      </c>
      <c r="B68" s="5" t="s">
        <v>239</v>
      </c>
      <c r="C68" s="5" t="s">
        <v>240</v>
      </c>
      <c r="D68" s="5" t="s">
        <v>35</v>
      </c>
      <c r="E68" s="5" t="s">
        <v>241</v>
      </c>
      <c r="F68" s="7"/>
      <c r="G68" s="8"/>
      <c r="H68" s="9"/>
      <c r="I68" s="6"/>
      <c r="J68" t="s">
        <v>32</v>
      </c>
    </row>
    <row r="69" spans="1:10">
      <c r="A69" s="5" t="s">
        <v>242</v>
      </c>
      <c r="B69" s="5" t="s">
        <v>239</v>
      </c>
      <c r="C69" s="5" t="s">
        <v>243</v>
      </c>
      <c r="D69" s="5" t="s">
        <v>50</v>
      </c>
      <c r="E69" s="5" t="s">
        <v>244</v>
      </c>
      <c r="F69" s="7"/>
      <c r="G69" s="8"/>
      <c r="H69" s="9"/>
      <c r="I69" s="6"/>
      <c r="J69" t="s">
        <v>32</v>
      </c>
    </row>
    <row r="70" spans="1:10">
      <c r="A70" s="5" t="s">
        <v>245</v>
      </c>
      <c r="B70" s="5" t="s">
        <v>239</v>
      </c>
      <c r="C70" s="5" t="s">
        <v>246</v>
      </c>
      <c r="D70" s="5" t="s">
        <v>35</v>
      </c>
      <c r="E70" s="5" t="s">
        <v>247</v>
      </c>
      <c r="F70" s="7"/>
      <c r="G70" s="8"/>
      <c r="H70" s="9"/>
      <c r="I70" s="6"/>
      <c r="J70" t="s">
        <v>32</v>
      </c>
    </row>
    <row r="71" spans="1:10">
      <c r="A71" s="5" t="s">
        <v>248</v>
      </c>
      <c r="B71" s="5" t="s">
        <v>239</v>
      </c>
      <c r="C71" s="5" t="s">
        <v>249</v>
      </c>
      <c r="D71" s="5" t="s">
        <v>50</v>
      </c>
      <c r="E71" s="5" t="s">
        <v>250</v>
      </c>
      <c r="F71" s="7"/>
      <c r="G71" s="8"/>
      <c r="H71" s="9"/>
      <c r="I71" s="6"/>
      <c r="J71" t="s">
        <v>32</v>
      </c>
    </row>
    <row r="72" spans="1:10">
      <c r="A72" s="5" t="s">
        <v>251</v>
      </c>
      <c r="B72" s="5" t="s">
        <v>239</v>
      </c>
      <c r="C72" s="5" t="s">
        <v>252</v>
      </c>
      <c r="D72" s="5" t="s">
        <v>50</v>
      </c>
      <c r="E72" s="5" t="s">
        <v>253</v>
      </c>
      <c r="F72" s="7"/>
      <c r="G72" s="8"/>
      <c r="H72" s="9"/>
      <c r="I72" s="6"/>
      <c r="J72" t="s">
        <v>32</v>
      </c>
    </row>
    <row r="73" spans="1:10">
      <c r="A73" s="5" t="s">
        <v>254</v>
      </c>
      <c r="B73" s="5" t="s">
        <v>239</v>
      </c>
      <c r="C73" s="5" t="s">
        <v>255</v>
      </c>
      <c r="D73" s="5" t="s">
        <v>66</v>
      </c>
      <c r="E73" s="5" t="s">
        <v>256</v>
      </c>
      <c r="F73" s="7"/>
      <c r="G73" s="8"/>
      <c r="H73" s="9"/>
      <c r="I73" s="6"/>
      <c r="J73" t="s">
        <v>32</v>
      </c>
    </row>
    <row r="74" spans="1:10">
      <c r="A74" s="5" t="s">
        <v>257</v>
      </c>
      <c r="B74" s="5" t="s">
        <v>239</v>
      </c>
      <c r="C74" s="5" t="s">
        <v>258</v>
      </c>
      <c r="D74" s="5" t="s">
        <v>50</v>
      </c>
      <c r="E74" s="5" t="s">
        <v>259</v>
      </c>
      <c r="F74" s="7"/>
      <c r="G74" s="8"/>
      <c r="H74" s="9"/>
      <c r="I74" s="6"/>
      <c r="J74" t="s">
        <v>32</v>
      </c>
    </row>
    <row r="75" spans="1:10">
      <c r="A75" s="5" t="s">
        <v>260</v>
      </c>
      <c r="B75" s="5" t="s">
        <v>239</v>
      </c>
      <c r="C75" s="5" t="s">
        <v>261</v>
      </c>
      <c r="D75" s="5" t="s">
        <v>35</v>
      </c>
      <c r="E75" s="5" t="s">
        <v>262</v>
      </c>
      <c r="F75" s="7"/>
      <c r="G75" s="8"/>
      <c r="H75" s="9"/>
      <c r="I75" s="6"/>
      <c r="J75" t="s">
        <v>32</v>
      </c>
    </row>
    <row r="76" spans="1:10">
      <c r="A76" s="5" t="s">
        <v>263</v>
      </c>
      <c r="B76" s="5" t="s">
        <v>239</v>
      </c>
      <c r="C76" s="5" t="s">
        <v>264</v>
      </c>
      <c r="D76" s="5" t="s">
        <v>50</v>
      </c>
      <c r="E76" s="5" t="s">
        <v>265</v>
      </c>
      <c r="F76" s="7"/>
      <c r="G76" s="8"/>
      <c r="H76" s="9"/>
      <c r="I76" s="6"/>
      <c r="J76" t="s">
        <v>32</v>
      </c>
    </row>
    <row r="77" spans="1:10">
      <c r="A77" s="5" t="s">
        <v>266</v>
      </c>
      <c r="B77" s="5" t="s">
        <v>239</v>
      </c>
      <c r="C77" s="5" t="s">
        <v>267</v>
      </c>
      <c r="D77" s="5" t="s">
        <v>50</v>
      </c>
      <c r="E77" s="5" t="s">
        <v>268</v>
      </c>
      <c r="F77" s="7"/>
      <c r="G77" s="8"/>
      <c r="H77" s="9"/>
      <c r="I77" s="6"/>
      <c r="J77" t="s">
        <v>32</v>
      </c>
    </row>
    <row r="78" spans="1:10">
      <c r="A78" s="5" t="s">
        <v>269</v>
      </c>
      <c r="B78" s="5" t="s">
        <v>270</v>
      </c>
      <c r="C78" s="5" t="s">
        <v>271</v>
      </c>
      <c r="D78" s="5" t="s">
        <v>35</v>
      </c>
      <c r="E78" s="5" t="s">
        <v>272</v>
      </c>
      <c r="F78" s="7"/>
      <c r="G78" s="8"/>
      <c r="H78" s="9"/>
      <c r="I78" s="6"/>
      <c r="J78" t="s">
        <v>32</v>
      </c>
    </row>
    <row r="79" spans="1:10">
      <c r="A79" s="5" t="s">
        <v>273</v>
      </c>
      <c r="B79" s="5" t="s">
        <v>270</v>
      </c>
      <c r="C79" s="5" t="s">
        <v>274</v>
      </c>
      <c r="D79" s="5" t="s">
        <v>66</v>
      </c>
      <c r="E79" s="5" t="s">
        <v>275</v>
      </c>
      <c r="F79" s="7"/>
      <c r="G79" s="8"/>
      <c r="H79" s="9"/>
      <c r="I79" s="6"/>
      <c r="J79" t="s">
        <v>32</v>
      </c>
    </row>
    <row r="80" spans="1:10">
      <c r="A80" s="5" t="s">
        <v>276</v>
      </c>
      <c r="B80" s="5" t="s">
        <v>270</v>
      </c>
      <c r="C80" s="5" t="s">
        <v>277</v>
      </c>
      <c r="D80" s="5" t="s">
        <v>50</v>
      </c>
      <c r="E80" s="5" t="s">
        <v>278</v>
      </c>
      <c r="F80" s="7"/>
      <c r="G80" s="8"/>
      <c r="H80" s="9"/>
      <c r="I80" s="6"/>
      <c r="J80" t="s">
        <v>32</v>
      </c>
    </row>
    <row r="81" spans="1:10">
      <c r="A81" s="5" t="s">
        <v>279</v>
      </c>
      <c r="B81" s="5" t="s">
        <v>280</v>
      </c>
      <c r="C81" s="5" t="s">
        <v>281</v>
      </c>
      <c r="D81" s="5" t="s">
        <v>66</v>
      </c>
      <c r="E81" s="5" t="s">
        <v>282</v>
      </c>
      <c r="F81" s="7"/>
      <c r="G81" s="8"/>
      <c r="H81" s="9"/>
      <c r="I81" s="6"/>
      <c r="J81" t="s">
        <v>32</v>
      </c>
    </row>
    <row r="82" spans="1:10">
      <c r="A82" s="5" t="s">
        <v>283</v>
      </c>
      <c r="B82" s="5" t="s">
        <v>280</v>
      </c>
      <c r="C82" s="5" t="s">
        <v>284</v>
      </c>
      <c r="D82" s="5" t="s">
        <v>54</v>
      </c>
      <c r="E82" s="5" t="s">
        <v>285</v>
      </c>
      <c r="F82" s="7"/>
      <c r="G82" s="8"/>
      <c r="H82" s="9"/>
      <c r="I82" s="6"/>
      <c r="J82" t="s">
        <v>32</v>
      </c>
    </row>
    <row r="83" spans="1:10">
      <c r="A83" s="5" t="s">
        <v>286</v>
      </c>
      <c r="B83" s="5" t="s">
        <v>280</v>
      </c>
      <c r="C83" s="5" t="s">
        <v>287</v>
      </c>
      <c r="D83" s="5" t="s">
        <v>66</v>
      </c>
      <c r="E83" s="5" t="s">
        <v>288</v>
      </c>
      <c r="F83" s="7"/>
      <c r="G83" s="8"/>
      <c r="H83" s="9"/>
      <c r="I83" s="6"/>
      <c r="J83" t="s">
        <v>32</v>
      </c>
    </row>
    <row r="84" spans="1:10">
      <c r="A84" s="5" t="s">
        <v>289</v>
      </c>
      <c r="B84" s="5" t="s">
        <v>280</v>
      </c>
      <c r="C84" s="5" t="s">
        <v>290</v>
      </c>
      <c r="D84" s="5" t="s">
        <v>50</v>
      </c>
      <c r="E84" s="5" t="s">
        <v>291</v>
      </c>
      <c r="F84" s="7"/>
      <c r="G84" s="8"/>
      <c r="H84" s="9"/>
      <c r="I84" s="6"/>
      <c r="J84" t="s">
        <v>32</v>
      </c>
    </row>
    <row r="85" spans="1:10">
      <c r="A85" s="5" t="s">
        <v>292</v>
      </c>
      <c r="B85" s="5" t="s">
        <v>293</v>
      </c>
      <c r="C85" s="5" t="s">
        <v>294</v>
      </c>
      <c r="D85" s="5" t="s">
        <v>66</v>
      </c>
      <c r="E85" s="5" t="s">
        <v>295</v>
      </c>
      <c r="F85" s="7"/>
      <c r="G85" s="8"/>
      <c r="H85" s="9"/>
      <c r="I85" s="6"/>
      <c r="J85" t="s">
        <v>32</v>
      </c>
    </row>
    <row r="86" spans="1:10">
      <c r="A86" s="5" t="s">
        <v>296</v>
      </c>
      <c r="B86" s="5" t="s">
        <v>293</v>
      </c>
      <c r="C86" s="5" t="s">
        <v>297</v>
      </c>
      <c r="D86" s="5" t="s">
        <v>66</v>
      </c>
      <c r="E86" s="5" t="s">
        <v>298</v>
      </c>
      <c r="F86" s="7"/>
      <c r="G86" s="8"/>
      <c r="H86" s="9"/>
      <c r="I86" s="6"/>
      <c r="J86" t="s">
        <v>32</v>
      </c>
    </row>
    <row r="87" spans="1:10">
      <c r="A87" s="5" t="s">
        <v>299</v>
      </c>
      <c r="B87" s="5" t="s">
        <v>293</v>
      </c>
      <c r="C87" s="5" t="s">
        <v>300</v>
      </c>
      <c r="D87" s="5" t="s">
        <v>50</v>
      </c>
      <c r="E87" s="5" t="s">
        <v>301</v>
      </c>
      <c r="F87" s="7"/>
      <c r="G87" s="8"/>
      <c r="H87" s="9"/>
      <c r="I87" s="6"/>
      <c r="J87" t="s">
        <v>32</v>
      </c>
    </row>
    <row r="88" spans="1:10">
      <c r="A88" s="5" t="s">
        <v>302</v>
      </c>
      <c r="B88" s="5" t="s">
        <v>293</v>
      </c>
      <c r="C88" s="5" t="s">
        <v>303</v>
      </c>
      <c r="D88" s="5" t="s">
        <v>66</v>
      </c>
      <c r="E88" s="5" t="s">
        <v>304</v>
      </c>
      <c r="F88" s="7"/>
      <c r="G88" s="8"/>
      <c r="H88" s="9"/>
      <c r="I88" s="6"/>
      <c r="J88" t="s">
        <v>32</v>
      </c>
    </row>
    <row r="89" spans="1:10">
      <c r="A89" s="5" t="s">
        <v>305</v>
      </c>
      <c r="B89" s="5" t="s">
        <v>293</v>
      </c>
      <c r="C89" s="5" t="s">
        <v>306</v>
      </c>
      <c r="D89" s="5" t="s">
        <v>66</v>
      </c>
      <c r="E89" s="5" t="s">
        <v>307</v>
      </c>
      <c r="F89" s="7"/>
      <c r="G89" s="8"/>
      <c r="H89" s="9"/>
      <c r="I89" s="6"/>
      <c r="J89" t="s">
        <v>32</v>
      </c>
    </row>
    <row r="90" spans="1:10">
      <c r="A90" s="5" t="s">
        <v>308</v>
      </c>
      <c r="B90" s="5" t="s">
        <v>293</v>
      </c>
      <c r="C90" s="5" t="s">
        <v>309</v>
      </c>
      <c r="D90" s="5" t="s">
        <v>50</v>
      </c>
      <c r="E90" s="5" t="s">
        <v>310</v>
      </c>
      <c r="F90" s="7"/>
      <c r="G90" s="8"/>
      <c r="H90" s="9"/>
      <c r="I90" s="6"/>
      <c r="J90" t="s">
        <v>32</v>
      </c>
    </row>
    <row r="91" spans="1:10">
      <c r="A91" s="5" t="s">
        <v>311</v>
      </c>
      <c r="B91" s="5" t="s">
        <v>293</v>
      </c>
      <c r="C91" s="5" t="s">
        <v>312</v>
      </c>
      <c r="D91" s="5" t="s">
        <v>50</v>
      </c>
      <c r="E91" s="5" t="s">
        <v>313</v>
      </c>
      <c r="F91" s="7"/>
      <c r="G91" s="8"/>
      <c r="H91" s="9"/>
      <c r="I91" s="6"/>
      <c r="J91" t="s">
        <v>32</v>
      </c>
    </row>
    <row r="92" spans="1:10">
      <c r="A92" s="5" t="s">
        <v>314</v>
      </c>
      <c r="B92" s="5" t="s">
        <v>315</v>
      </c>
      <c r="C92" s="5" t="s">
        <v>316</v>
      </c>
      <c r="D92" s="5" t="s">
        <v>58</v>
      </c>
      <c r="E92" s="5" t="s">
        <v>317</v>
      </c>
      <c r="F92" s="7"/>
      <c r="G92" s="8"/>
      <c r="H92" s="9"/>
      <c r="I92" s="6"/>
      <c r="J92" t="s">
        <v>32</v>
      </c>
    </row>
    <row r="93" spans="1:10">
      <c r="A93" s="5" t="s">
        <v>318</v>
      </c>
      <c r="B93" s="5" t="s">
        <v>315</v>
      </c>
      <c r="C93" s="5" t="s">
        <v>319</v>
      </c>
      <c r="D93" s="5" t="s">
        <v>35</v>
      </c>
      <c r="E93" s="5" t="s">
        <v>320</v>
      </c>
      <c r="F93" s="7"/>
      <c r="G93" s="8"/>
      <c r="H93" s="9"/>
      <c r="I93" s="6"/>
      <c r="J93" t="s">
        <v>32</v>
      </c>
    </row>
    <row r="94" spans="1:10">
      <c r="A94" s="5" t="s">
        <v>321</v>
      </c>
      <c r="B94" s="5" t="s">
        <v>322</v>
      </c>
      <c r="C94" s="5" t="s">
        <v>323</v>
      </c>
      <c r="D94" s="5" t="s">
        <v>66</v>
      </c>
      <c r="E94" s="5" t="s">
        <v>324</v>
      </c>
      <c r="F94" s="7"/>
      <c r="G94" s="8"/>
      <c r="H94" s="9"/>
      <c r="I94" s="6"/>
      <c r="J94" t="s">
        <v>32</v>
      </c>
    </row>
    <row r="95" spans="1:10">
      <c r="A95" s="5" t="s">
        <v>325</v>
      </c>
      <c r="B95" s="5" t="s">
        <v>326</v>
      </c>
      <c r="C95" s="5" t="s">
        <v>327</v>
      </c>
      <c r="D95" s="5" t="s">
        <v>328</v>
      </c>
      <c r="E95" s="5" t="s">
        <v>329</v>
      </c>
      <c r="F95" s="7"/>
      <c r="G95" s="8"/>
      <c r="H95" s="9"/>
      <c r="I95" s="6"/>
      <c r="J95" t="s">
        <v>32</v>
      </c>
    </row>
    <row r="96" spans="1:10">
      <c r="A96" s="5" t="s">
        <v>330</v>
      </c>
      <c r="B96" s="5" t="s">
        <v>326</v>
      </c>
      <c r="C96" s="5" t="s">
        <v>331</v>
      </c>
      <c r="D96" s="5" t="s">
        <v>66</v>
      </c>
      <c r="E96" s="5" t="s">
        <v>332</v>
      </c>
      <c r="F96" s="7"/>
      <c r="G96" s="8"/>
      <c r="H96" s="9"/>
      <c r="I96" s="6"/>
      <c r="J96" t="s">
        <v>32</v>
      </c>
    </row>
    <row r="97" spans="1:10">
      <c r="A97" s="5" t="s">
        <v>333</v>
      </c>
      <c r="B97" s="5" t="s">
        <v>326</v>
      </c>
      <c r="C97" s="5" t="s">
        <v>334</v>
      </c>
      <c r="D97" s="5" t="s">
        <v>66</v>
      </c>
      <c r="E97" s="5" t="s">
        <v>335</v>
      </c>
      <c r="F97" s="7"/>
      <c r="G97" s="8"/>
      <c r="H97" s="9"/>
      <c r="I97" s="6"/>
      <c r="J97" t="s">
        <v>32</v>
      </c>
    </row>
    <row r="98" spans="1:10">
      <c r="A98" s="5" t="s">
        <v>336</v>
      </c>
      <c r="B98" s="5" t="s">
        <v>326</v>
      </c>
      <c r="C98" s="5" t="s">
        <v>337</v>
      </c>
      <c r="D98" s="5" t="s">
        <v>50</v>
      </c>
      <c r="E98" s="5" t="s">
        <v>338</v>
      </c>
      <c r="F98" s="7"/>
      <c r="G98" s="8"/>
      <c r="H98" s="9"/>
      <c r="I98" s="6"/>
      <c r="J98" t="s">
        <v>32</v>
      </c>
    </row>
    <row r="99" spans="1:10">
      <c r="A99" s="5" t="s">
        <v>339</v>
      </c>
      <c r="B99" s="5" t="s">
        <v>326</v>
      </c>
      <c r="C99" s="5" t="s">
        <v>340</v>
      </c>
      <c r="D99" s="5" t="s">
        <v>50</v>
      </c>
      <c r="E99" s="5" t="s">
        <v>341</v>
      </c>
      <c r="F99" s="7"/>
      <c r="G99" s="8"/>
      <c r="H99" s="9"/>
      <c r="I99" s="6"/>
      <c r="J99" t="s">
        <v>32</v>
      </c>
    </row>
    <row r="100" spans="1:10">
      <c r="A100" s="5" t="s">
        <v>342</v>
      </c>
      <c r="B100" s="5" t="s">
        <v>343</v>
      </c>
      <c r="C100" s="5" t="s">
        <v>344</v>
      </c>
      <c r="D100" s="5" t="s">
        <v>35</v>
      </c>
      <c r="E100" s="5" t="s">
        <v>345</v>
      </c>
      <c r="F100" s="7"/>
      <c r="G100" s="8"/>
      <c r="H100" s="9"/>
      <c r="I100" s="6"/>
      <c r="J100" t="s">
        <v>32</v>
      </c>
    </row>
    <row r="101" spans="1:10">
      <c r="A101" s="5" t="s">
        <v>346</v>
      </c>
      <c r="B101" s="5" t="s">
        <v>343</v>
      </c>
      <c r="C101" s="5" t="s">
        <v>347</v>
      </c>
      <c r="D101" s="5" t="s">
        <v>35</v>
      </c>
      <c r="E101" s="5" t="s">
        <v>348</v>
      </c>
      <c r="F101" s="7"/>
      <c r="G101" s="8"/>
      <c r="H101" s="9"/>
      <c r="I101" s="6"/>
      <c r="J101" t="s">
        <v>32</v>
      </c>
    </row>
    <row r="102" spans="1:10">
      <c r="A102" s="5" t="s">
        <v>349</v>
      </c>
      <c r="B102" s="5" t="s">
        <v>343</v>
      </c>
      <c r="C102" s="5" t="s">
        <v>350</v>
      </c>
      <c r="D102" s="5" t="s">
        <v>50</v>
      </c>
      <c r="E102" s="5" t="s">
        <v>351</v>
      </c>
      <c r="F102" s="7"/>
      <c r="G102" s="8"/>
      <c r="H102" s="9"/>
      <c r="I102" s="6"/>
      <c r="J102" t="s">
        <v>32</v>
      </c>
    </row>
    <row r="103" spans="1:10">
      <c r="A103" s="5" t="s">
        <v>352</v>
      </c>
      <c r="B103" s="5" t="s">
        <v>343</v>
      </c>
      <c r="C103" s="5" t="s">
        <v>353</v>
      </c>
      <c r="D103" s="5" t="s">
        <v>54</v>
      </c>
      <c r="E103" s="5" t="s">
        <v>354</v>
      </c>
      <c r="F103" s="7"/>
      <c r="G103" s="8"/>
      <c r="H103" s="9"/>
      <c r="I103" s="6"/>
      <c r="J103" t="s">
        <v>32</v>
      </c>
    </row>
    <row r="104" spans="1:10">
      <c r="A104" s="5" t="s">
        <v>355</v>
      </c>
      <c r="B104" s="5" t="s">
        <v>343</v>
      </c>
      <c r="C104" s="5" t="s">
        <v>356</v>
      </c>
      <c r="D104" s="5" t="s">
        <v>35</v>
      </c>
      <c r="E104" s="5" t="s">
        <v>357</v>
      </c>
      <c r="F104" s="7"/>
      <c r="G104" s="8"/>
      <c r="H104" s="9"/>
      <c r="I104" s="6"/>
      <c r="J104" t="s">
        <v>32</v>
      </c>
    </row>
    <row r="105" spans="1:10">
      <c r="A105" s="5" t="s">
        <v>358</v>
      </c>
      <c r="B105" s="5" t="s">
        <v>343</v>
      </c>
      <c r="C105" s="5" t="s">
        <v>359</v>
      </c>
      <c r="D105" s="5" t="s">
        <v>58</v>
      </c>
      <c r="E105" s="5" t="s">
        <v>360</v>
      </c>
      <c r="F105" s="7"/>
      <c r="G105" s="8"/>
      <c r="H105" s="9"/>
      <c r="I105" s="6"/>
      <c r="J105" t="s">
        <v>32</v>
      </c>
    </row>
    <row r="106" spans="1:10">
      <c r="A106" s="5" t="s">
        <v>361</v>
      </c>
      <c r="B106" s="5" t="s">
        <v>343</v>
      </c>
      <c r="C106" s="5" t="s">
        <v>362</v>
      </c>
      <c r="D106" s="5" t="s">
        <v>54</v>
      </c>
      <c r="E106" s="5" t="s">
        <v>363</v>
      </c>
      <c r="F106" s="7"/>
      <c r="G106" s="8"/>
      <c r="H106" s="9"/>
      <c r="I106" s="6"/>
      <c r="J106" t="s">
        <v>32</v>
      </c>
    </row>
    <row r="107" spans="1:10">
      <c r="A107" s="5" t="s">
        <v>364</v>
      </c>
      <c r="B107" s="5" t="s">
        <v>365</v>
      </c>
      <c r="C107" s="5" t="s">
        <v>366</v>
      </c>
      <c r="D107" s="5" t="s">
        <v>50</v>
      </c>
      <c r="E107" s="5" t="s">
        <v>367</v>
      </c>
      <c r="F107" s="7"/>
      <c r="G107" s="8"/>
      <c r="H107" s="9"/>
      <c r="I107" s="6"/>
      <c r="J107" t="s">
        <v>32</v>
      </c>
    </row>
    <row r="108" spans="1:10">
      <c r="A108" s="5" t="s">
        <v>368</v>
      </c>
      <c r="B108" s="5" t="s">
        <v>365</v>
      </c>
      <c r="C108" s="5" t="s">
        <v>369</v>
      </c>
      <c r="D108" s="5" t="s">
        <v>50</v>
      </c>
      <c r="E108" s="5" t="s">
        <v>370</v>
      </c>
      <c r="F108" s="7"/>
      <c r="G108" s="8"/>
      <c r="H108" s="9"/>
      <c r="I108" s="6"/>
      <c r="J108" t="s">
        <v>32</v>
      </c>
    </row>
    <row r="109" spans="1:10">
      <c r="A109" s="5" t="s">
        <v>371</v>
      </c>
      <c r="B109" s="5" t="s">
        <v>365</v>
      </c>
      <c r="C109" s="5" t="s">
        <v>372</v>
      </c>
      <c r="D109" s="5" t="s">
        <v>35</v>
      </c>
      <c r="E109" s="5" t="s">
        <v>373</v>
      </c>
      <c r="F109" s="7"/>
      <c r="G109" s="8"/>
      <c r="H109" s="9"/>
      <c r="I109" s="6"/>
      <c r="J109" t="s">
        <v>32</v>
      </c>
    </row>
    <row r="110" spans="1:10">
      <c r="A110" s="5" t="s">
        <v>374</v>
      </c>
      <c r="B110" s="5" t="s">
        <v>365</v>
      </c>
      <c r="C110" s="5" t="s">
        <v>375</v>
      </c>
      <c r="D110" s="5" t="s">
        <v>66</v>
      </c>
      <c r="E110" s="5" t="s">
        <v>376</v>
      </c>
      <c r="F110" s="7"/>
      <c r="G110" s="8"/>
      <c r="H110" s="9"/>
      <c r="I110" s="6"/>
      <c r="J110" t="s">
        <v>32</v>
      </c>
    </row>
    <row r="111" spans="1:10">
      <c r="A111" s="5" t="s">
        <v>377</v>
      </c>
      <c r="B111" s="5" t="s">
        <v>365</v>
      </c>
      <c r="C111" s="5" t="s">
        <v>378</v>
      </c>
      <c r="D111" s="5" t="s">
        <v>35</v>
      </c>
      <c r="E111" s="5" t="s">
        <v>379</v>
      </c>
      <c r="F111" s="7"/>
      <c r="G111" s="8"/>
      <c r="H111" s="9"/>
      <c r="I111" s="6"/>
      <c r="J111" t="s">
        <v>32</v>
      </c>
    </row>
    <row r="112" spans="1:10">
      <c r="A112" s="5" t="s">
        <v>380</v>
      </c>
      <c r="B112" s="5" t="s">
        <v>365</v>
      </c>
      <c r="C112" s="5" t="s">
        <v>381</v>
      </c>
      <c r="D112" s="5" t="s">
        <v>35</v>
      </c>
      <c r="E112" s="5" t="s">
        <v>382</v>
      </c>
      <c r="F112" s="7"/>
      <c r="G112" s="8"/>
      <c r="H112" s="9"/>
      <c r="I112" s="6"/>
      <c r="J112" t="s">
        <v>32</v>
      </c>
    </row>
    <row r="113" spans="1:10">
      <c r="A113" s="5" t="s">
        <v>383</v>
      </c>
      <c r="B113" s="5" t="s">
        <v>365</v>
      </c>
      <c r="C113" s="5" t="s">
        <v>384</v>
      </c>
      <c r="D113" s="5" t="s">
        <v>50</v>
      </c>
      <c r="E113" s="5" t="s">
        <v>385</v>
      </c>
      <c r="F113" s="7"/>
      <c r="G113" s="8"/>
      <c r="H113" s="9"/>
      <c r="I113" s="6"/>
      <c r="J113" t="s">
        <v>32</v>
      </c>
    </row>
    <row r="114" spans="1:10">
      <c r="A114" s="5" t="s">
        <v>386</v>
      </c>
      <c r="B114" s="5" t="s">
        <v>365</v>
      </c>
      <c r="C114" s="5" t="s">
        <v>387</v>
      </c>
      <c r="D114" s="5" t="s">
        <v>50</v>
      </c>
      <c r="E114" s="5" t="s">
        <v>388</v>
      </c>
      <c r="F114" s="7"/>
      <c r="G114" s="8"/>
      <c r="H114" s="9"/>
      <c r="I114" s="6"/>
      <c r="J114" t="s">
        <v>32</v>
      </c>
    </row>
    <row r="115" spans="1:10">
      <c r="A115" s="5" t="s">
        <v>389</v>
      </c>
      <c r="B115" s="5" t="s">
        <v>365</v>
      </c>
      <c r="C115" s="5" t="s">
        <v>390</v>
      </c>
      <c r="D115" s="5" t="s">
        <v>50</v>
      </c>
      <c r="E115" s="5" t="s">
        <v>391</v>
      </c>
      <c r="F115" s="7"/>
      <c r="G115" s="8"/>
      <c r="H115" s="9"/>
      <c r="I115" s="6"/>
      <c r="J115" t="s">
        <v>32</v>
      </c>
    </row>
    <row r="116" spans="1:10">
      <c r="A116" s="5" t="s">
        <v>392</v>
      </c>
      <c r="B116" s="5" t="s">
        <v>365</v>
      </c>
      <c r="C116" s="5" t="s">
        <v>393</v>
      </c>
      <c r="D116" s="5" t="s">
        <v>35</v>
      </c>
      <c r="E116" s="5" t="s">
        <v>394</v>
      </c>
      <c r="F116" s="7"/>
      <c r="G116" s="8"/>
      <c r="H116" s="9"/>
      <c r="I116" s="6"/>
      <c r="J116" t="s">
        <v>32</v>
      </c>
    </row>
    <row r="117" spans="1:10">
      <c r="A117" s="5" t="s">
        <v>395</v>
      </c>
      <c r="B117" s="5" t="s">
        <v>396</v>
      </c>
      <c r="C117" s="5" t="s">
        <v>397</v>
      </c>
      <c r="D117" s="5" t="s">
        <v>43</v>
      </c>
      <c r="E117" s="5" t="s">
        <v>398</v>
      </c>
      <c r="F117" s="7"/>
      <c r="G117" s="8"/>
      <c r="H117" s="9"/>
      <c r="I117" s="6"/>
      <c r="J117" t="s">
        <v>32</v>
      </c>
    </row>
    <row r="118" spans="1:10">
      <c r="A118" s="5" t="s">
        <v>399</v>
      </c>
      <c r="B118" s="5" t="s">
        <v>396</v>
      </c>
      <c r="C118" s="5" t="s">
        <v>400</v>
      </c>
      <c r="D118" s="5" t="s">
        <v>66</v>
      </c>
      <c r="E118" s="5" t="s">
        <v>401</v>
      </c>
      <c r="F118" s="7"/>
      <c r="G118" s="8"/>
      <c r="H118" s="9"/>
      <c r="I118" s="6"/>
      <c r="J118" t="s">
        <v>32</v>
      </c>
    </row>
    <row r="119" spans="1:10">
      <c r="A119" s="5" t="s">
        <v>402</v>
      </c>
      <c r="B119" s="5" t="s">
        <v>396</v>
      </c>
      <c r="C119" s="5" t="s">
        <v>403</v>
      </c>
      <c r="D119" s="5" t="s">
        <v>50</v>
      </c>
      <c r="E119" s="5" t="s">
        <v>404</v>
      </c>
      <c r="F119" s="7"/>
      <c r="G119" s="8"/>
      <c r="H119" s="9"/>
      <c r="I119" s="6"/>
      <c r="J119" t="s">
        <v>32</v>
      </c>
    </row>
    <row r="120" spans="1:10">
      <c r="A120" s="5" t="s">
        <v>405</v>
      </c>
      <c r="B120" s="5" t="s">
        <v>406</v>
      </c>
      <c r="C120" s="5" t="s">
        <v>407</v>
      </c>
      <c r="D120" s="5" t="s">
        <v>54</v>
      </c>
      <c r="E120" s="5" t="s">
        <v>408</v>
      </c>
      <c r="F120" s="7"/>
      <c r="G120" s="8"/>
      <c r="H120" s="9"/>
      <c r="I120" s="6"/>
      <c r="J120" t="s">
        <v>32</v>
      </c>
    </row>
    <row r="121" spans="1:10">
      <c r="A121" s="5" t="s">
        <v>409</v>
      </c>
      <c r="B121" s="5" t="s">
        <v>406</v>
      </c>
      <c r="C121" s="5" t="s">
        <v>410</v>
      </c>
      <c r="D121" s="5" t="s">
        <v>50</v>
      </c>
      <c r="E121" s="5" t="s">
        <v>411</v>
      </c>
      <c r="F121" s="7"/>
      <c r="G121" s="8"/>
      <c r="H121" s="9"/>
      <c r="I121" s="6"/>
      <c r="J121" t="s">
        <v>32</v>
      </c>
    </row>
    <row r="122" spans="1:10">
      <c r="A122" s="5" t="s">
        <v>412</v>
      </c>
      <c r="B122" s="5" t="s">
        <v>406</v>
      </c>
      <c r="C122" s="5" t="s">
        <v>413</v>
      </c>
      <c r="D122" s="5" t="s">
        <v>43</v>
      </c>
      <c r="E122" s="5" t="s">
        <v>414</v>
      </c>
      <c r="F122" s="7"/>
      <c r="G122" s="8"/>
      <c r="H122" s="9"/>
      <c r="I122" s="6"/>
      <c r="J122" t="s">
        <v>32</v>
      </c>
    </row>
    <row r="123" spans="1:10">
      <c r="A123" s="5" t="s">
        <v>415</v>
      </c>
      <c r="B123" s="5" t="s">
        <v>406</v>
      </c>
      <c r="C123" s="5" t="s">
        <v>416</v>
      </c>
      <c r="D123" s="5" t="s">
        <v>58</v>
      </c>
      <c r="E123" s="5" t="s">
        <v>417</v>
      </c>
      <c r="F123" s="7"/>
      <c r="G123" s="8"/>
      <c r="H123" s="9"/>
      <c r="I123" s="6"/>
      <c r="J123" t="s">
        <v>32</v>
      </c>
    </row>
    <row r="124" spans="1:10">
      <c r="A124" s="5" t="s">
        <v>418</v>
      </c>
      <c r="B124" s="5" t="s">
        <v>419</v>
      </c>
      <c r="C124" s="5" t="s">
        <v>420</v>
      </c>
      <c r="D124" s="5" t="s">
        <v>43</v>
      </c>
      <c r="E124" s="5" t="s">
        <v>421</v>
      </c>
      <c r="F124" s="7"/>
      <c r="G124" s="8"/>
      <c r="H124" s="9"/>
      <c r="I124" s="6"/>
      <c r="J124" t="s">
        <v>32</v>
      </c>
    </row>
    <row r="125" spans="1:10">
      <c r="A125" s="5" t="s">
        <v>422</v>
      </c>
      <c r="B125" s="5" t="s">
        <v>419</v>
      </c>
      <c r="C125" s="5" t="s">
        <v>423</v>
      </c>
      <c r="D125" s="5" t="s">
        <v>35</v>
      </c>
      <c r="E125" s="5" t="s">
        <v>424</v>
      </c>
      <c r="F125" s="7"/>
      <c r="G125" s="8"/>
      <c r="H125" s="9"/>
      <c r="I125" s="6"/>
      <c r="J125" t="s">
        <v>32</v>
      </c>
    </row>
    <row r="126" spans="1:10">
      <c r="A126" s="5" t="s">
        <v>425</v>
      </c>
      <c r="B126" s="5" t="s">
        <v>419</v>
      </c>
      <c r="C126" s="5" t="s">
        <v>426</v>
      </c>
      <c r="D126" s="5" t="s">
        <v>58</v>
      </c>
      <c r="E126" s="5" t="s">
        <v>427</v>
      </c>
      <c r="F126" s="7"/>
      <c r="G126" s="8"/>
      <c r="H126" s="9"/>
      <c r="I126" s="6"/>
      <c r="J126" t="s">
        <v>32</v>
      </c>
    </row>
    <row r="127" spans="1:10">
      <c r="A127" s="5" t="s">
        <v>428</v>
      </c>
      <c r="B127" s="5" t="s">
        <v>419</v>
      </c>
      <c r="C127" s="5" t="s">
        <v>429</v>
      </c>
      <c r="D127" s="5" t="s">
        <v>54</v>
      </c>
      <c r="E127" s="5" t="s">
        <v>430</v>
      </c>
      <c r="F127" s="7"/>
      <c r="G127" s="8"/>
      <c r="H127" s="9"/>
      <c r="I127" s="6"/>
      <c r="J127" t="s">
        <v>32</v>
      </c>
    </row>
    <row r="128" spans="1:10">
      <c r="A128" s="5" t="s">
        <v>431</v>
      </c>
      <c r="B128" s="5" t="s">
        <v>432</v>
      </c>
      <c r="C128" s="5" t="s">
        <v>433</v>
      </c>
      <c r="D128" s="5" t="s">
        <v>54</v>
      </c>
      <c r="E128" s="5" t="s">
        <v>434</v>
      </c>
      <c r="F128" s="7"/>
      <c r="G128" s="8"/>
      <c r="H128" s="9"/>
      <c r="I128" s="6"/>
      <c r="J128" t="s">
        <v>32</v>
      </c>
    </row>
    <row r="129" spans="1:10">
      <c r="A129" s="5" t="s">
        <v>435</v>
      </c>
      <c r="B129" s="5" t="s">
        <v>432</v>
      </c>
      <c r="C129" s="5" t="s">
        <v>436</v>
      </c>
      <c r="D129" s="5" t="s">
        <v>54</v>
      </c>
      <c r="E129" s="5" t="s">
        <v>437</v>
      </c>
      <c r="F129" s="7"/>
      <c r="G129" s="8"/>
      <c r="H129" s="9"/>
      <c r="I129" s="6"/>
      <c r="J129" t="s">
        <v>32</v>
      </c>
    </row>
    <row r="130" spans="1:10">
      <c r="A130" s="5" t="s">
        <v>438</v>
      </c>
      <c r="B130" s="5" t="s">
        <v>432</v>
      </c>
      <c r="C130" s="5" t="s">
        <v>439</v>
      </c>
      <c r="D130" s="5" t="s">
        <v>58</v>
      </c>
      <c r="E130" s="5" t="s">
        <v>440</v>
      </c>
      <c r="F130" s="7"/>
      <c r="G130" s="8"/>
      <c r="H130" s="9"/>
      <c r="I130" s="6"/>
      <c r="J130" t="s">
        <v>32</v>
      </c>
    </row>
    <row r="131" spans="1:10">
      <c r="A131" s="5" t="s">
        <v>441</v>
      </c>
      <c r="B131" s="5" t="s">
        <v>432</v>
      </c>
      <c r="C131" s="5" t="s">
        <v>442</v>
      </c>
      <c r="D131" s="5" t="s">
        <v>35</v>
      </c>
      <c r="E131" s="5" t="s">
        <v>443</v>
      </c>
      <c r="F131" s="7"/>
      <c r="G131" s="8"/>
      <c r="H131" s="9"/>
      <c r="I131" s="6"/>
      <c r="J131" t="s">
        <v>32</v>
      </c>
    </row>
    <row r="132" spans="1:10">
      <c r="A132" s="5" t="s">
        <v>444</v>
      </c>
      <c r="B132" s="5" t="s">
        <v>432</v>
      </c>
      <c r="C132" s="5" t="s">
        <v>445</v>
      </c>
      <c r="D132" s="5" t="s">
        <v>58</v>
      </c>
      <c r="E132" s="5" t="s">
        <v>446</v>
      </c>
      <c r="F132" s="7"/>
      <c r="G132" s="8"/>
      <c r="H132" s="9"/>
      <c r="I132" s="6"/>
      <c r="J132" t="s">
        <v>32</v>
      </c>
    </row>
    <row r="133" spans="1:10">
      <c r="A133" s="5" t="s">
        <v>447</v>
      </c>
      <c r="B133" s="5" t="s">
        <v>432</v>
      </c>
      <c r="C133" s="5" t="s">
        <v>448</v>
      </c>
      <c r="D133" s="5" t="s">
        <v>58</v>
      </c>
      <c r="E133" s="5" t="s">
        <v>449</v>
      </c>
      <c r="F133" s="7"/>
      <c r="G133" s="8"/>
      <c r="H133" s="9"/>
      <c r="I133" s="6"/>
      <c r="J133" t="s">
        <v>32</v>
      </c>
    </row>
    <row r="134" spans="1:10">
      <c r="A134" s="5" t="s">
        <v>450</v>
      </c>
      <c r="B134" s="5" t="s">
        <v>432</v>
      </c>
      <c r="C134" s="5" t="s">
        <v>451</v>
      </c>
      <c r="D134" s="5" t="s">
        <v>35</v>
      </c>
      <c r="E134" s="5" t="s">
        <v>452</v>
      </c>
      <c r="F134" s="7"/>
      <c r="G134" s="8"/>
      <c r="H134" s="9"/>
      <c r="I134" s="6"/>
      <c r="J134" t="s">
        <v>32</v>
      </c>
    </row>
    <row r="135" spans="1:10">
      <c r="A135" s="5" t="s">
        <v>453</v>
      </c>
      <c r="B135" s="5" t="s">
        <v>432</v>
      </c>
      <c r="C135" s="5" t="s">
        <v>454</v>
      </c>
      <c r="D135" s="5" t="s">
        <v>58</v>
      </c>
      <c r="E135" s="5" t="s">
        <v>455</v>
      </c>
      <c r="F135" s="7"/>
      <c r="G135" s="8"/>
      <c r="H135" s="9"/>
      <c r="I135" s="6"/>
      <c r="J135" t="s">
        <v>32</v>
      </c>
    </row>
    <row r="136" spans="1:10">
      <c r="A136" s="5" t="s">
        <v>456</v>
      </c>
      <c r="B136" s="5" t="s">
        <v>432</v>
      </c>
      <c r="C136" s="5" t="s">
        <v>457</v>
      </c>
      <c r="D136" s="5" t="s">
        <v>54</v>
      </c>
      <c r="E136" s="5" t="s">
        <v>458</v>
      </c>
      <c r="F136" s="7"/>
      <c r="G136" s="8"/>
      <c r="H136" s="9"/>
      <c r="I136" s="6"/>
      <c r="J136" t="s">
        <v>32</v>
      </c>
    </row>
    <row r="137" spans="1:10">
      <c r="A137" s="5" t="s">
        <v>459</v>
      </c>
      <c r="B137" s="5" t="s">
        <v>432</v>
      </c>
      <c r="C137" s="5" t="s">
        <v>460</v>
      </c>
      <c r="D137" s="5" t="s">
        <v>58</v>
      </c>
      <c r="E137" s="5" t="s">
        <v>461</v>
      </c>
      <c r="F137" s="7"/>
      <c r="G137" s="8"/>
      <c r="H137" s="9"/>
      <c r="I137" s="6"/>
      <c r="J137" t="s">
        <v>32</v>
      </c>
    </row>
    <row r="138" spans="1:10">
      <c r="A138" s="5" t="s">
        <v>462</v>
      </c>
      <c r="B138" s="5" t="s">
        <v>432</v>
      </c>
      <c r="C138" s="5" t="s">
        <v>463</v>
      </c>
      <c r="D138" s="5" t="s">
        <v>35</v>
      </c>
      <c r="E138" s="5" t="s">
        <v>464</v>
      </c>
      <c r="F138" s="7"/>
      <c r="G138" s="8"/>
      <c r="H138" s="9"/>
      <c r="I138" s="6"/>
      <c r="J138" t="s">
        <v>32</v>
      </c>
    </row>
    <row r="139" spans="1:10">
      <c r="A139" s="5" t="s">
        <v>465</v>
      </c>
      <c r="B139" s="5" t="s">
        <v>466</v>
      </c>
      <c r="C139" s="5" t="s">
        <v>467</v>
      </c>
      <c r="D139" s="5" t="s">
        <v>50</v>
      </c>
      <c r="E139" s="5" t="s">
        <v>468</v>
      </c>
      <c r="F139" s="7"/>
      <c r="G139" s="8"/>
      <c r="H139" s="9"/>
      <c r="I139" s="6"/>
      <c r="J139" t="s">
        <v>32</v>
      </c>
    </row>
    <row r="140" spans="1:10">
      <c r="A140" s="5" t="s">
        <v>469</v>
      </c>
      <c r="B140" s="5" t="s">
        <v>466</v>
      </c>
      <c r="C140" s="5" t="s">
        <v>470</v>
      </c>
      <c r="D140" s="5" t="s">
        <v>35</v>
      </c>
      <c r="E140" s="5" t="s">
        <v>471</v>
      </c>
      <c r="F140" s="7"/>
      <c r="G140" s="8"/>
      <c r="H140" s="9"/>
      <c r="I140" s="6"/>
      <c r="J140" t="s">
        <v>32</v>
      </c>
    </row>
    <row r="141" spans="1:10">
      <c r="A141" s="5" t="s">
        <v>472</v>
      </c>
      <c r="B141" s="5" t="s">
        <v>466</v>
      </c>
      <c r="C141" s="5" t="s">
        <v>473</v>
      </c>
      <c r="D141" s="5" t="s">
        <v>58</v>
      </c>
      <c r="E141" s="5" t="s">
        <v>474</v>
      </c>
      <c r="F141" s="7"/>
      <c r="G141" s="8"/>
      <c r="H141" s="9"/>
      <c r="I141" s="6"/>
      <c r="J141" t="s">
        <v>32</v>
      </c>
    </row>
    <row r="142" spans="1:10">
      <c r="A142" s="5" t="s">
        <v>475</v>
      </c>
      <c r="B142" s="5" t="s">
        <v>466</v>
      </c>
      <c r="C142" s="5" t="s">
        <v>476</v>
      </c>
      <c r="D142" s="5" t="s">
        <v>35</v>
      </c>
      <c r="E142" s="5" t="s">
        <v>477</v>
      </c>
      <c r="F142" s="7"/>
      <c r="G142" s="8"/>
      <c r="H142" s="9"/>
      <c r="I142" s="6"/>
      <c r="J142" t="s">
        <v>32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topLeftCell="A58" workbookViewId="0">
      <selection activeCell="F80" sqref="F80"/>
    </sheetView>
  </sheetViews>
  <sheetFormatPr defaultRowHeight="13.8"/>
  <cols>
    <col min="1" max="2" width="18" customWidth="1"/>
    <col min="3" max="3" width="42" customWidth="1"/>
    <col min="4" max="4" width="13" customWidth="1"/>
    <col min="5" max="5" width="9" customWidth="1"/>
    <col min="6" max="7" width="18" customWidth="1"/>
    <col min="8" max="8" width="17" customWidth="1"/>
    <col min="9" max="9" width="18" customWidth="1"/>
    <col min="10" max="10" width="11" customWidth="1"/>
    <col min="11" max="11" width="28" customWidth="1"/>
    <col min="12" max="13" width="20" customWidth="1"/>
    <col min="14" max="14" width="16" customWidth="1"/>
    <col min="15" max="15" width="20" customWidth="1"/>
  </cols>
  <sheetData>
    <row r="1" spans="1:15" ht="22.35" customHeight="1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4">
      <c r="A2" s="15" t="s">
        <v>479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1:15" ht="27.15" customHeight="1">
      <c r="A4" s="4" t="s">
        <v>480</v>
      </c>
      <c r="B4" s="4" t="s">
        <v>18</v>
      </c>
      <c r="C4" s="4" t="s">
        <v>481</v>
      </c>
      <c r="D4" s="4" t="s">
        <v>482</v>
      </c>
      <c r="E4" s="4" t="s">
        <v>20</v>
      </c>
      <c r="F4" s="4" t="s">
        <v>483</v>
      </c>
      <c r="G4" s="4" t="s">
        <v>484</v>
      </c>
      <c r="H4" s="4" t="s">
        <v>485</v>
      </c>
      <c r="I4" s="4" t="s">
        <v>486</v>
      </c>
      <c r="J4" s="4" t="s">
        <v>487</v>
      </c>
      <c r="K4" s="4" t="s">
        <v>488</v>
      </c>
      <c r="L4" s="4" t="s">
        <v>489</v>
      </c>
      <c r="M4" s="4" t="s">
        <v>490</v>
      </c>
      <c r="N4" s="4" t="s">
        <v>491</v>
      </c>
      <c r="O4" s="4" t="s">
        <v>492</v>
      </c>
    </row>
    <row r="5" spans="1:15">
      <c r="A5" s="5" t="s">
        <v>493</v>
      </c>
      <c r="B5" s="5" t="s">
        <v>494</v>
      </c>
      <c r="C5" s="5" t="s">
        <v>495</v>
      </c>
      <c r="D5" s="10">
        <v>130</v>
      </c>
      <c r="E5" s="5" t="s">
        <v>496</v>
      </c>
      <c r="F5" s="7">
        <v>18000</v>
      </c>
      <c r="G5" s="8"/>
      <c r="H5" s="8"/>
      <c r="I5" s="8"/>
      <c r="J5" s="11"/>
      <c r="K5" s="6"/>
      <c r="L5" s="12" t="str">
        <f t="shared" ref="L5:L36" si="0">IF(G5="","",D5*G5)</f>
        <v/>
      </c>
      <c r="M5" s="12" t="str">
        <f t="shared" ref="M5:M36" si="1">IF(L5="","",L5+IF(H5="",0,H5)+IF(I5="",0,I5))</f>
        <v/>
      </c>
      <c r="N5" s="12" t="str">
        <f t="shared" ref="N5:N36" si="2">IF(M5="","",M5*IF(J5="",0,J5)/100)</f>
        <v/>
      </c>
      <c r="O5" s="12" t="str">
        <f t="shared" ref="O5:O36" si="3">IF(M5="","",M5+N5)</f>
        <v/>
      </c>
    </row>
    <row r="6" spans="1:15">
      <c r="A6" s="5" t="s">
        <v>497</v>
      </c>
      <c r="B6" s="5" t="s">
        <v>494</v>
      </c>
      <c r="C6" s="5" t="s">
        <v>498</v>
      </c>
      <c r="D6" s="10">
        <v>62</v>
      </c>
      <c r="E6" s="5" t="s">
        <v>499</v>
      </c>
      <c r="F6" s="7">
        <v>60000</v>
      </c>
      <c r="G6" s="8"/>
      <c r="H6" s="8"/>
      <c r="I6" s="8"/>
      <c r="J6" s="11"/>
      <c r="K6" s="6"/>
      <c r="L6" s="12" t="str">
        <f t="shared" si="0"/>
        <v/>
      </c>
      <c r="M6" s="12" t="str">
        <f t="shared" si="1"/>
        <v/>
      </c>
      <c r="N6" s="12" t="str">
        <f t="shared" si="2"/>
        <v/>
      </c>
      <c r="O6" s="12" t="str">
        <f t="shared" si="3"/>
        <v/>
      </c>
    </row>
    <row r="7" spans="1:15">
      <c r="A7" s="5" t="s">
        <v>500</v>
      </c>
      <c r="B7" s="5" t="s">
        <v>494</v>
      </c>
      <c r="C7" s="5" t="s">
        <v>501</v>
      </c>
      <c r="D7" s="10">
        <v>780</v>
      </c>
      <c r="E7" s="5" t="s">
        <v>54</v>
      </c>
      <c r="F7" s="7">
        <v>10000</v>
      </c>
      <c r="G7" s="8"/>
      <c r="H7" s="8"/>
      <c r="I7" s="8"/>
      <c r="J7" s="11"/>
      <c r="K7" s="6"/>
      <c r="L7" s="12" t="str">
        <f t="shared" si="0"/>
        <v/>
      </c>
      <c r="M7" s="12" t="str">
        <f t="shared" si="1"/>
        <v/>
      </c>
      <c r="N7" s="12" t="str">
        <f t="shared" si="2"/>
        <v/>
      </c>
      <c r="O7" s="12" t="str">
        <f t="shared" si="3"/>
        <v/>
      </c>
    </row>
    <row r="8" spans="1:15">
      <c r="A8" s="5" t="s">
        <v>502</v>
      </c>
      <c r="B8" s="5" t="s">
        <v>494</v>
      </c>
      <c r="C8" s="5" t="s">
        <v>503</v>
      </c>
      <c r="D8" s="10">
        <v>12490.5</v>
      </c>
      <c r="E8" s="5" t="s">
        <v>54</v>
      </c>
      <c r="F8" s="7">
        <v>20000</v>
      </c>
      <c r="G8" s="8"/>
      <c r="H8" s="8"/>
      <c r="I8" s="8"/>
      <c r="J8" s="11"/>
      <c r="K8" s="6"/>
      <c r="L8" s="12" t="str">
        <f t="shared" si="0"/>
        <v/>
      </c>
      <c r="M8" s="12" t="str">
        <f t="shared" si="1"/>
        <v/>
      </c>
      <c r="N8" s="12" t="str">
        <f t="shared" si="2"/>
        <v/>
      </c>
      <c r="O8" s="12" t="str">
        <f t="shared" si="3"/>
        <v/>
      </c>
    </row>
    <row r="9" spans="1:15">
      <c r="A9" s="5" t="s">
        <v>504</v>
      </c>
      <c r="B9" s="5" t="s">
        <v>494</v>
      </c>
      <c r="C9" s="5" t="s">
        <v>505</v>
      </c>
      <c r="D9" s="10">
        <v>2167</v>
      </c>
      <c r="E9" s="5" t="s">
        <v>54</v>
      </c>
      <c r="F9" s="7">
        <v>20000</v>
      </c>
      <c r="G9" s="8"/>
      <c r="H9" s="8"/>
      <c r="I9" s="8"/>
      <c r="J9" s="11"/>
      <c r="K9" s="6"/>
      <c r="L9" s="12" t="str">
        <f t="shared" si="0"/>
        <v/>
      </c>
      <c r="M9" s="12" t="str">
        <f t="shared" si="1"/>
        <v/>
      </c>
      <c r="N9" s="12" t="str">
        <f t="shared" si="2"/>
        <v/>
      </c>
      <c r="O9" s="12" t="str">
        <f t="shared" si="3"/>
        <v/>
      </c>
    </row>
    <row r="10" spans="1:15">
      <c r="A10" s="5" t="s">
        <v>506</v>
      </c>
      <c r="B10" s="5" t="s">
        <v>494</v>
      </c>
      <c r="C10" s="5" t="s">
        <v>507</v>
      </c>
      <c r="D10" s="10">
        <v>4334</v>
      </c>
      <c r="E10" s="5" t="s">
        <v>54</v>
      </c>
      <c r="F10" s="7">
        <v>20000</v>
      </c>
      <c r="G10" s="8"/>
      <c r="H10" s="8"/>
      <c r="I10" s="8"/>
      <c r="J10" s="11"/>
      <c r="K10" s="6"/>
      <c r="L10" s="12" t="str">
        <f t="shared" si="0"/>
        <v/>
      </c>
      <c r="M10" s="12" t="str">
        <f t="shared" si="1"/>
        <v/>
      </c>
      <c r="N10" s="12" t="str">
        <f t="shared" si="2"/>
        <v/>
      </c>
      <c r="O10" s="12" t="str">
        <f t="shared" si="3"/>
        <v/>
      </c>
    </row>
    <row r="11" spans="1:15">
      <c r="A11" s="5" t="s">
        <v>508</v>
      </c>
      <c r="B11" s="5" t="s">
        <v>494</v>
      </c>
      <c r="C11" s="5" t="s">
        <v>509</v>
      </c>
      <c r="D11" s="10">
        <v>502.96</v>
      </c>
      <c r="E11" s="5" t="s">
        <v>54</v>
      </c>
      <c r="F11" s="7">
        <v>45000</v>
      </c>
      <c r="G11" s="8"/>
      <c r="H11" s="8"/>
      <c r="I11" s="8"/>
      <c r="J11" s="11"/>
      <c r="K11" s="6"/>
      <c r="L11" s="12" t="str">
        <f t="shared" si="0"/>
        <v/>
      </c>
      <c r="M11" s="12" t="str">
        <f t="shared" si="1"/>
        <v/>
      </c>
      <c r="N11" s="12" t="str">
        <f t="shared" si="2"/>
        <v/>
      </c>
      <c r="O11" s="12" t="str">
        <f t="shared" si="3"/>
        <v/>
      </c>
    </row>
    <row r="12" spans="1:15">
      <c r="A12" s="5" t="s">
        <v>510</v>
      </c>
      <c r="B12" s="5" t="s">
        <v>494</v>
      </c>
      <c r="C12" s="5" t="s">
        <v>511</v>
      </c>
      <c r="D12" s="10">
        <v>34</v>
      </c>
      <c r="E12" s="5" t="s">
        <v>50</v>
      </c>
      <c r="F12" s="7">
        <v>180000</v>
      </c>
      <c r="G12" s="8"/>
      <c r="H12" s="8"/>
      <c r="I12" s="8"/>
      <c r="J12" s="11"/>
      <c r="K12" s="6"/>
      <c r="L12" s="12" t="str">
        <f t="shared" si="0"/>
        <v/>
      </c>
      <c r="M12" s="12" t="str">
        <f t="shared" si="1"/>
        <v/>
      </c>
      <c r="N12" s="12" t="str">
        <f t="shared" si="2"/>
        <v/>
      </c>
      <c r="O12" s="12" t="str">
        <f t="shared" si="3"/>
        <v/>
      </c>
    </row>
    <row r="13" spans="1:15">
      <c r="A13" s="5" t="s">
        <v>512</v>
      </c>
      <c r="B13" s="5" t="s">
        <v>494</v>
      </c>
      <c r="C13" s="5" t="s">
        <v>513</v>
      </c>
      <c r="D13" s="10">
        <v>170</v>
      </c>
      <c r="E13" s="5" t="s">
        <v>54</v>
      </c>
      <c r="F13" s="7">
        <v>34000</v>
      </c>
      <c r="G13" s="8"/>
      <c r="H13" s="8"/>
      <c r="I13" s="8"/>
      <c r="J13" s="11"/>
      <c r="K13" s="6"/>
      <c r="L13" s="12" t="str">
        <f t="shared" si="0"/>
        <v/>
      </c>
      <c r="M13" s="12" t="str">
        <f t="shared" si="1"/>
        <v/>
      </c>
      <c r="N13" s="12" t="str">
        <f t="shared" si="2"/>
        <v/>
      </c>
      <c r="O13" s="12" t="str">
        <f t="shared" si="3"/>
        <v/>
      </c>
    </row>
    <row r="14" spans="1:15">
      <c r="A14" s="5" t="s">
        <v>514</v>
      </c>
      <c r="B14" s="5" t="s">
        <v>515</v>
      </c>
      <c r="C14" s="5" t="s">
        <v>516</v>
      </c>
      <c r="D14" s="10">
        <v>5100</v>
      </c>
      <c r="E14" s="5" t="s">
        <v>54</v>
      </c>
      <c r="F14" s="7">
        <v>50000</v>
      </c>
      <c r="G14" s="8"/>
      <c r="H14" s="8"/>
      <c r="I14" s="8"/>
      <c r="J14" s="11"/>
      <c r="K14" s="6"/>
      <c r="L14" s="12" t="str">
        <f t="shared" si="0"/>
        <v/>
      </c>
      <c r="M14" s="12" t="str">
        <f t="shared" si="1"/>
        <v/>
      </c>
      <c r="N14" s="12" t="str">
        <f t="shared" si="2"/>
        <v/>
      </c>
      <c r="O14" s="12" t="str">
        <f t="shared" si="3"/>
        <v/>
      </c>
    </row>
    <row r="15" spans="1:15">
      <c r="A15" s="5" t="s">
        <v>517</v>
      </c>
      <c r="B15" s="5" t="s">
        <v>515</v>
      </c>
      <c r="C15" s="5" t="s">
        <v>518</v>
      </c>
      <c r="D15" s="10">
        <v>534</v>
      </c>
      <c r="E15" s="5" t="s">
        <v>54</v>
      </c>
      <c r="F15" s="7">
        <v>80000</v>
      </c>
      <c r="G15" s="8"/>
      <c r="H15" s="8"/>
      <c r="I15" s="8"/>
      <c r="J15" s="11"/>
      <c r="K15" s="6"/>
      <c r="L15" s="12" t="str">
        <f t="shared" si="0"/>
        <v/>
      </c>
      <c r="M15" s="12" t="str">
        <f t="shared" si="1"/>
        <v/>
      </c>
      <c r="N15" s="12" t="str">
        <f t="shared" si="2"/>
        <v/>
      </c>
      <c r="O15" s="12" t="str">
        <f t="shared" si="3"/>
        <v/>
      </c>
    </row>
    <row r="16" spans="1:15">
      <c r="A16" s="5" t="s">
        <v>519</v>
      </c>
      <c r="B16" s="5" t="s">
        <v>515</v>
      </c>
      <c r="C16" s="5" t="s">
        <v>520</v>
      </c>
      <c r="D16" s="10">
        <v>300</v>
      </c>
      <c r="E16" s="5" t="s">
        <v>54</v>
      </c>
      <c r="F16" s="7">
        <v>31000</v>
      </c>
      <c r="G16" s="8"/>
      <c r="H16" s="8"/>
      <c r="I16" s="8"/>
      <c r="J16" s="11"/>
      <c r="K16" s="6"/>
      <c r="L16" s="12" t="str">
        <f t="shared" si="0"/>
        <v/>
      </c>
      <c r="M16" s="12" t="str">
        <f t="shared" si="1"/>
        <v/>
      </c>
      <c r="N16" s="12" t="str">
        <f t="shared" si="2"/>
        <v/>
      </c>
      <c r="O16" s="12" t="str">
        <f t="shared" si="3"/>
        <v/>
      </c>
    </row>
    <row r="17" spans="1:15">
      <c r="A17" s="5" t="s">
        <v>521</v>
      </c>
      <c r="B17" s="5" t="s">
        <v>522</v>
      </c>
      <c r="C17" s="5" t="s">
        <v>523</v>
      </c>
      <c r="D17" s="10">
        <v>10439.700000000001</v>
      </c>
      <c r="E17" s="5" t="s">
        <v>54</v>
      </c>
      <c r="F17" s="7">
        <v>22000</v>
      </c>
      <c r="G17" s="8"/>
      <c r="H17" s="8"/>
      <c r="I17" s="8"/>
      <c r="J17" s="11"/>
      <c r="K17" s="6"/>
      <c r="L17" s="12" t="str">
        <f t="shared" si="0"/>
        <v/>
      </c>
      <c r="M17" s="12" t="str">
        <f t="shared" si="1"/>
        <v/>
      </c>
      <c r="N17" s="12" t="str">
        <f t="shared" si="2"/>
        <v/>
      </c>
      <c r="O17" s="12" t="str">
        <f t="shared" si="3"/>
        <v/>
      </c>
    </row>
    <row r="18" spans="1:15">
      <c r="A18" s="5" t="s">
        <v>524</v>
      </c>
      <c r="B18" s="5" t="s">
        <v>522</v>
      </c>
      <c r="C18" s="5" t="s">
        <v>525</v>
      </c>
      <c r="D18" s="10">
        <v>1200</v>
      </c>
      <c r="E18" s="5" t="s">
        <v>50</v>
      </c>
      <c r="F18" s="7">
        <v>55000</v>
      </c>
      <c r="G18" s="8"/>
      <c r="H18" s="8"/>
      <c r="I18" s="8"/>
      <c r="J18" s="11"/>
      <c r="K18" s="6"/>
      <c r="L18" s="12" t="str">
        <f t="shared" si="0"/>
        <v/>
      </c>
      <c r="M18" s="12" t="str">
        <f t="shared" si="1"/>
        <v/>
      </c>
      <c r="N18" s="12" t="str">
        <f t="shared" si="2"/>
        <v/>
      </c>
      <c r="O18" s="12" t="str">
        <f t="shared" si="3"/>
        <v/>
      </c>
    </row>
    <row r="19" spans="1:15">
      <c r="A19" s="5" t="s">
        <v>526</v>
      </c>
      <c r="B19" s="5" t="s">
        <v>522</v>
      </c>
      <c r="C19" s="5" t="s">
        <v>527</v>
      </c>
      <c r="D19" s="10">
        <v>200</v>
      </c>
      <c r="E19" s="5" t="s">
        <v>50</v>
      </c>
      <c r="F19" s="7">
        <v>45000</v>
      </c>
      <c r="G19" s="8"/>
      <c r="H19" s="8"/>
      <c r="I19" s="8"/>
      <c r="J19" s="11"/>
      <c r="K19" s="6"/>
      <c r="L19" s="12" t="str">
        <f t="shared" si="0"/>
        <v/>
      </c>
      <c r="M19" s="12" t="str">
        <f t="shared" si="1"/>
        <v/>
      </c>
      <c r="N19" s="12" t="str">
        <f t="shared" si="2"/>
        <v/>
      </c>
      <c r="O19" s="12" t="str">
        <f t="shared" si="3"/>
        <v/>
      </c>
    </row>
    <row r="20" spans="1:15">
      <c r="A20" s="5" t="s">
        <v>528</v>
      </c>
      <c r="B20" s="5" t="s">
        <v>522</v>
      </c>
      <c r="C20" s="5" t="s">
        <v>529</v>
      </c>
      <c r="D20" s="10">
        <v>8800</v>
      </c>
      <c r="E20" s="5" t="s">
        <v>54</v>
      </c>
      <c r="F20" s="7">
        <v>28000</v>
      </c>
      <c r="G20" s="8"/>
      <c r="H20" s="8"/>
      <c r="I20" s="8"/>
      <c r="J20" s="11"/>
      <c r="K20" s="6"/>
      <c r="L20" s="12" t="str">
        <f t="shared" si="0"/>
        <v/>
      </c>
      <c r="M20" s="12" t="str">
        <f t="shared" si="1"/>
        <v/>
      </c>
      <c r="N20" s="12" t="str">
        <f t="shared" si="2"/>
        <v/>
      </c>
      <c r="O20" s="12" t="str">
        <f t="shared" si="3"/>
        <v/>
      </c>
    </row>
    <row r="21" spans="1:15">
      <c r="A21" s="5" t="s">
        <v>530</v>
      </c>
      <c r="B21" s="5" t="s">
        <v>522</v>
      </c>
      <c r="C21" s="5" t="s">
        <v>531</v>
      </c>
      <c r="D21" s="10">
        <v>1</v>
      </c>
      <c r="E21" s="5" t="s">
        <v>66</v>
      </c>
      <c r="F21" s="7">
        <v>18000000</v>
      </c>
      <c r="G21" s="8"/>
      <c r="H21" s="8"/>
      <c r="I21" s="8"/>
      <c r="J21" s="11"/>
      <c r="K21" s="6"/>
      <c r="L21" s="12" t="str">
        <f t="shared" si="0"/>
        <v/>
      </c>
      <c r="M21" s="12" t="str">
        <f t="shared" si="1"/>
        <v/>
      </c>
      <c r="N21" s="12" t="str">
        <f t="shared" si="2"/>
        <v/>
      </c>
      <c r="O21" s="12" t="str">
        <f t="shared" si="3"/>
        <v/>
      </c>
    </row>
    <row r="22" spans="1:15">
      <c r="A22" s="5" t="s">
        <v>532</v>
      </c>
      <c r="B22" s="5" t="s">
        <v>522</v>
      </c>
      <c r="C22" s="5" t="s">
        <v>533</v>
      </c>
      <c r="D22" s="10">
        <v>120</v>
      </c>
      <c r="E22" s="5" t="s">
        <v>50</v>
      </c>
      <c r="F22" s="7">
        <v>28000</v>
      </c>
      <c r="G22" s="8"/>
      <c r="H22" s="8"/>
      <c r="I22" s="8"/>
      <c r="J22" s="11"/>
      <c r="K22" s="6"/>
      <c r="L22" s="12" t="str">
        <f t="shared" si="0"/>
        <v/>
      </c>
      <c r="M22" s="12" t="str">
        <f t="shared" si="1"/>
        <v/>
      </c>
      <c r="N22" s="12" t="str">
        <f t="shared" si="2"/>
        <v/>
      </c>
      <c r="O22" s="12" t="str">
        <f t="shared" si="3"/>
        <v/>
      </c>
    </row>
    <row r="23" spans="1:15">
      <c r="A23" s="5" t="s">
        <v>534</v>
      </c>
      <c r="B23" s="5" t="s">
        <v>522</v>
      </c>
      <c r="C23" s="5" t="s">
        <v>535</v>
      </c>
      <c r="D23" s="10">
        <v>450</v>
      </c>
      <c r="E23" s="5" t="s">
        <v>50</v>
      </c>
      <c r="F23" s="7">
        <v>18000</v>
      </c>
      <c r="G23" s="8"/>
      <c r="H23" s="8"/>
      <c r="I23" s="8"/>
      <c r="J23" s="11"/>
      <c r="K23" s="6"/>
      <c r="L23" s="12" t="str">
        <f t="shared" si="0"/>
        <v/>
      </c>
      <c r="M23" s="12" t="str">
        <f t="shared" si="1"/>
        <v/>
      </c>
      <c r="N23" s="12" t="str">
        <f t="shared" si="2"/>
        <v/>
      </c>
      <c r="O23" s="12" t="str">
        <f t="shared" si="3"/>
        <v/>
      </c>
    </row>
    <row r="24" spans="1:15">
      <c r="A24" s="5" t="s">
        <v>536</v>
      </c>
      <c r="B24" s="5" t="s">
        <v>522</v>
      </c>
      <c r="C24" s="5" t="s">
        <v>537</v>
      </c>
      <c r="D24" s="10">
        <v>8800</v>
      </c>
      <c r="E24" s="5" t="s">
        <v>54</v>
      </c>
      <c r="F24" s="7">
        <v>25000</v>
      </c>
      <c r="G24" s="8"/>
      <c r="H24" s="8"/>
      <c r="I24" s="8"/>
      <c r="J24" s="11"/>
      <c r="K24" s="6"/>
      <c r="L24" s="12" t="str">
        <f t="shared" si="0"/>
        <v/>
      </c>
      <c r="M24" s="12" t="str">
        <f t="shared" si="1"/>
        <v/>
      </c>
      <c r="N24" s="12" t="str">
        <f t="shared" si="2"/>
        <v/>
      </c>
      <c r="O24" s="12" t="str">
        <f t="shared" si="3"/>
        <v/>
      </c>
    </row>
    <row r="25" spans="1:15">
      <c r="A25" s="5" t="s">
        <v>538</v>
      </c>
      <c r="B25" s="5" t="s">
        <v>539</v>
      </c>
      <c r="C25" s="5" t="s">
        <v>540</v>
      </c>
      <c r="D25" s="10">
        <v>8500</v>
      </c>
      <c r="E25" s="5" t="s">
        <v>54</v>
      </c>
      <c r="F25" s="7">
        <v>0</v>
      </c>
      <c r="G25" s="8"/>
      <c r="H25" s="8"/>
      <c r="I25" s="8"/>
      <c r="J25" s="11"/>
      <c r="K25" s="6"/>
      <c r="L25" s="12" t="str">
        <f t="shared" si="0"/>
        <v/>
      </c>
      <c r="M25" s="12" t="str">
        <f t="shared" si="1"/>
        <v/>
      </c>
      <c r="N25" s="12" t="str">
        <f t="shared" si="2"/>
        <v/>
      </c>
      <c r="O25" s="12" t="str">
        <f t="shared" si="3"/>
        <v/>
      </c>
    </row>
    <row r="26" spans="1:15">
      <c r="A26" s="5" t="s">
        <v>541</v>
      </c>
      <c r="B26" s="5" t="s">
        <v>539</v>
      </c>
      <c r="C26" s="5" t="s">
        <v>542</v>
      </c>
      <c r="D26" s="10">
        <v>17</v>
      </c>
      <c r="E26" s="5" t="s">
        <v>543</v>
      </c>
      <c r="F26" s="7">
        <v>1000000</v>
      </c>
      <c r="G26" s="8"/>
      <c r="H26" s="8"/>
      <c r="I26" s="8"/>
      <c r="J26" s="11"/>
      <c r="K26" s="6"/>
      <c r="L26" s="12" t="str">
        <f t="shared" si="0"/>
        <v/>
      </c>
      <c r="M26" s="12" t="str">
        <f t="shared" si="1"/>
        <v/>
      </c>
      <c r="N26" s="12" t="str">
        <f t="shared" si="2"/>
        <v/>
      </c>
      <c r="O26" s="12" t="str">
        <f t="shared" si="3"/>
        <v/>
      </c>
    </row>
    <row r="27" spans="1:15">
      <c r="A27" s="5" t="s">
        <v>544</v>
      </c>
      <c r="B27" s="5" t="s">
        <v>539</v>
      </c>
      <c r="C27" s="5" t="s">
        <v>545</v>
      </c>
      <c r="D27" s="10">
        <v>0</v>
      </c>
      <c r="E27" s="5" t="s">
        <v>546</v>
      </c>
      <c r="F27" s="7">
        <v>0</v>
      </c>
      <c r="G27" s="8"/>
      <c r="H27" s="8"/>
      <c r="I27" s="8"/>
      <c r="J27" s="11"/>
      <c r="K27" s="6"/>
      <c r="L27" s="12" t="str">
        <f t="shared" si="0"/>
        <v/>
      </c>
      <c r="M27" s="12" t="str">
        <f t="shared" si="1"/>
        <v/>
      </c>
      <c r="N27" s="12" t="str">
        <f t="shared" si="2"/>
        <v/>
      </c>
      <c r="O27" s="12" t="str">
        <f t="shared" si="3"/>
        <v/>
      </c>
    </row>
    <row r="28" spans="1:15">
      <c r="A28" s="5" t="s">
        <v>547</v>
      </c>
      <c r="B28" s="5" t="s">
        <v>539</v>
      </c>
      <c r="C28" s="5" t="s">
        <v>548</v>
      </c>
      <c r="D28" s="10">
        <v>17</v>
      </c>
      <c r="E28" s="5" t="s">
        <v>543</v>
      </c>
      <c r="F28" s="7">
        <v>1000000</v>
      </c>
      <c r="G28" s="8"/>
      <c r="H28" s="8"/>
      <c r="I28" s="8"/>
      <c r="J28" s="11"/>
      <c r="K28" s="6"/>
      <c r="L28" s="12" t="str">
        <f t="shared" si="0"/>
        <v/>
      </c>
      <c r="M28" s="12" t="str">
        <f t="shared" si="1"/>
        <v/>
      </c>
      <c r="N28" s="12" t="str">
        <f t="shared" si="2"/>
        <v/>
      </c>
      <c r="O28" s="12" t="str">
        <f t="shared" si="3"/>
        <v/>
      </c>
    </row>
    <row r="29" spans="1:15">
      <c r="A29" s="5" t="s">
        <v>549</v>
      </c>
      <c r="B29" s="5" t="s">
        <v>539</v>
      </c>
      <c r="C29" s="5" t="s">
        <v>550</v>
      </c>
      <c r="D29" s="10">
        <v>17</v>
      </c>
      <c r="E29" s="5" t="s">
        <v>543</v>
      </c>
      <c r="F29" s="7">
        <v>1000000</v>
      </c>
      <c r="G29" s="8"/>
      <c r="H29" s="8"/>
      <c r="I29" s="8"/>
      <c r="J29" s="11"/>
      <c r="K29" s="6"/>
      <c r="L29" s="12" t="str">
        <f t="shared" si="0"/>
        <v/>
      </c>
      <c r="M29" s="12" t="str">
        <f t="shared" si="1"/>
        <v/>
      </c>
      <c r="N29" s="12" t="str">
        <f t="shared" si="2"/>
        <v/>
      </c>
      <c r="O29" s="12" t="str">
        <f t="shared" si="3"/>
        <v/>
      </c>
    </row>
    <row r="30" spans="1:15">
      <c r="A30" s="5" t="s">
        <v>551</v>
      </c>
      <c r="B30" s="5" t="s">
        <v>552</v>
      </c>
      <c r="C30" s="5" t="s">
        <v>553</v>
      </c>
      <c r="D30" s="10">
        <v>128</v>
      </c>
      <c r="E30" s="5" t="s">
        <v>50</v>
      </c>
      <c r="F30" s="7">
        <v>30000</v>
      </c>
      <c r="G30" s="8"/>
      <c r="H30" s="8"/>
      <c r="I30" s="8"/>
      <c r="J30" s="11"/>
      <c r="K30" s="6"/>
      <c r="L30" s="12" t="str">
        <f t="shared" si="0"/>
        <v/>
      </c>
      <c r="M30" s="12" t="str">
        <f t="shared" si="1"/>
        <v/>
      </c>
      <c r="N30" s="12" t="str">
        <f t="shared" si="2"/>
        <v/>
      </c>
      <c r="O30" s="12" t="str">
        <f t="shared" si="3"/>
        <v/>
      </c>
    </row>
    <row r="31" spans="1:15">
      <c r="A31" s="5" t="s">
        <v>554</v>
      </c>
      <c r="B31" s="5" t="s">
        <v>552</v>
      </c>
      <c r="C31" s="5" t="s">
        <v>555</v>
      </c>
      <c r="D31" s="10">
        <v>17</v>
      </c>
      <c r="E31" s="5" t="s">
        <v>543</v>
      </c>
      <c r="F31" s="7">
        <v>1000000</v>
      </c>
      <c r="G31" s="8"/>
      <c r="H31" s="8"/>
      <c r="I31" s="8"/>
      <c r="J31" s="11"/>
      <c r="K31" s="6"/>
      <c r="L31" s="12" t="str">
        <f t="shared" si="0"/>
        <v/>
      </c>
      <c r="M31" s="12" t="str">
        <f t="shared" si="1"/>
        <v/>
      </c>
      <c r="N31" s="12" t="str">
        <f t="shared" si="2"/>
        <v/>
      </c>
      <c r="O31" s="12" t="str">
        <f t="shared" si="3"/>
        <v/>
      </c>
    </row>
    <row r="32" spans="1:15">
      <c r="A32" s="5" t="s">
        <v>556</v>
      </c>
      <c r="B32" s="5" t="s">
        <v>552</v>
      </c>
      <c r="C32" s="5" t="s">
        <v>557</v>
      </c>
      <c r="D32" s="10">
        <v>2600</v>
      </c>
      <c r="E32" s="5" t="s">
        <v>54</v>
      </c>
      <c r="F32" s="7">
        <v>30000</v>
      </c>
      <c r="G32" s="8"/>
      <c r="H32" s="8"/>
      <c r="I32" s="8"/>
      <c r="J32" s="11"/>
      <c r="K32" s="6"/>
      <c r="L32" s="12" t="str">
        <f t="shared" si="0"/>
        <v/>
      </c>
      <c r="M32" s="12" t="str">
        <f t="shared" si="1"/>
        <v/>
      </c>
      <c r="N32" s="12" t="str">
        <f t="shared" si="2"/>
        <v/>
      </c>
      <c r="O32" s="12" t="str">
        <f t="shared" si="3"/>
        <v/>
      </c>
    </row>
    <row r="33" spans="1:15">
      <c r="A33" s="5" t="s">
        <v>558</v>
      </c>
      <c r="B33" s="5" t="s">
        <v>552</v>
      </c>
      <c r="C33" s="5" t="s">
        <v>559</v>
      </c>
      <c r="D33" s="10">
        <v>620</v>
      </c>
      <c r="E33" s="5" t="s">
        <v>54</v>
      </c>
      <c r="F33" s="7">
        <v>31000</v>
      </c>
      <c r="G33" s="8"/>
      <c r="H33" s="8"/>
      <c r="I33" s="8"/>
      <c r="J33" s="11"/>
      <c r="K33" s="6"/>
      <c r="L33" s="12" t="str">
        <f t="shared" si="0"/>
        <v/>
      </c>
      <c r="M33" s="12" t="str">
        <f t="shared" si="1"/>
        <v/>
      </c>
      <c r="N33" s="12" t="str">
        <f t="shared" si="2"/>
        <v/>
      </c>
      <c r="O33" s="12" t="str">
        <f t="shared" si="3"/>
        <v/>
      </c>
    </row>
    <row r="34" spans="1:15">
      <c r="A34" s="5" t="s">
        <v>560</v>
      </c>
      <c r="B34" s="5" t="s">
        <v>552</v>
      </c>
      <c r="C34" s="5" t="s">
        <v>561</v>
      </c>
      <c r="D34" s="10">
        <v>270</v>
      </c>
      <c r="E34" s="5" t="s">
        <v>54</v>
      </c>
      <c r="F34" s="7">
        <v>45000</v>
      </c>
      <c r="G34" s="8"/>
      <c r="H34" s="8"/>
      <c r="I34" s="8"/>
      <c r="J34" s="11"/>
      <c r="K34" s="6"/>
      <c r="L34" s="12" t="str">
        <f t="shared" si="0"/>
        <v/>
      </c>
      <c r="M34" s="12" t="str">
        <f t="shared" si="1"/>
        <v/>
      </c>
      <c r="N34" s="12" t="str">
        <f t="shared" si="2"/>
        <v/>
      </c>
      <c r="O34" s="12" t="str">
        <f t="shared" si="3"/>
        <v/>
      </c>
    </row>
    <row r="35" spans="1:15">
      <c r="A35" s="5" t="s">
        <v>562</v>
      </c>
      <c r="B35" s="5" t="s">
        <v>552</v>
      </c>
      <c r="C35" s="5" t="s">
        <v>563</v>
      </c>
      <c r="D35" s="10">
        <v>426</v>
      </c>
      <c r="E35" s="5" t="s">
        <v>54</v>
      </c>
      <c r="F35" s="7">
        <v>12000</v>
      </c>
      <c r="G35" s="8"/>
      <c r="H35" s="8"/>
      <c r="I35" s="8"/>
      <c r="J35" s="11"/>
      <c r="K35" s="6"/>
      <c r="L35" s="12" t="str">
        <f t="shared" si="0"/>
        <v/>
      </c>
      <c r="M35" s="12" t="str">
        <f t="shared" si="1"/>
        <v/>
      </c>
      <c r="N35" s="12" t="str">
        <f t="shared" si="2"/>
        <v/>
      </c>
      <c r="O35" s="12" t="str">
        <f t="shared" si="3"/>
        <v/>
      </c>
    </row>
    <row r="36" spans="1:15">
      <c r="A36" s="5" t="s">
        <v>564</v>
      </c>
      <c r="B36" s="5" t="s">
        <v>552</v>
      </c>
      <c r="C36" s="5" t="s">
        <v>565</v>
      </c>
      <c r="D36" s="10">
        <v>280</v>
      </c>
      <c r="E36" s="5" t="s">
        <v>54</v>
      </c>
      <c r="F36" s="7">
        <v>30000</v>
      </c>
      <c r="G36" s="8"/>
      <c r="H36" s="8"/>
      <c r="I36" s="8"/>
      <c r="J36" s="11"/>
      <c r="K36" s="6"/>
      <c r="L36" s="12" t="str">
        <f t="shared" si="0"/>
        <v/>
      </c>
      <c r="M36" s="12" t="str">
        <f t="shared" si="1"/>
        <v/>
      </c>
      <c r="N36" s="12" t="str">
        <f t="shared" si="2"/>
        <v/>
      </c>
      <c r="O36" s="12" t="str">
        <f t="shared" si="3"/>
        <v/>
      </c>
    </row>
    <row r="37" spans="1:15">
      <c r="A37" s="5" t="s">
        <v>566</v>
      </c>
      <c r="B37" s="5" t="s">
        <v>552</v>
      </c>
      <c r="C37" s="5" t="s">
        <v>567</v>
      </c>
      <c r="D37" s="10">
        <v>800</v>
      </c>
      <c r="E37" s="5" t="s">
        <v>54</v>
      </c>
      <c r="F37" s="7">
        <v>33000</v>
      </c>
      <c r="G37" s="8"/>
      <c r="H37" s="8"/>
      <c r="I37" s="8"/>
      <c r="J37" s="11"/>
      <c r="K37" s="6"/>
      <c r="L37" s="12" t="str">
        <f t="shared" ref="L37:L69" si="4">IF(G37="","",D37*G37)</f>
        <v/>
      </c>
      <c r="M37" s="12" t="str">
        <f t="shared" ref="M37:M68" si="5">IF(L37="","",L37+IF(H37="",0,H37)+IF(I37="",0,I37))</f>
        <v/>
      </c>
      <c r="N37" s="12" t="str">
        <f t="shared" ref="N37:N68" si="6">IF(M37="","",M37*IF(J37="",0,J37)/100)</f>
        <v/>
      </c>
      <c r="O37" s="12" t="str">
        <f t="shared" ref="O37:O68" si="7">IF(M37="","",M37+N37)</f>
        <v/>
      </c>
    </row>
    <row r="38" spans="1:15">
      <c r="A38" s="5" t="s">
        <v>568</v>
      </c>
      <c r="B38" s="5" t="s">
        <v>552</v>
      </c>
      <c r="C38" s="5" t="s">
        <v>569</v>
      </c>
      <c r="D38" s="10">
        <v>4800</v>
      </c>
      <c r="E38" s="5" t="s">
        <v>54</v>
      </c>
      <c r="F38" s="7">
        <v>9000</v>
      </c>
      <c r="G38" s="8"/>
      <c r="H38" s="8"/>
      <c r="I38" s="8"/>
      <c r="J38" s="11"/>
      <c r="K38" s="6"/>
      <c r="L38" s="12" t="str">
        <f t="shared" si="4"/>
        <v/>
      </c>
      <c r="M38" s="12" t="str">
        <f t="shared" si="5"/>
        <v/>
      </c>
      <c r="N38" s="12" t="str">
        <f t="shared" si="6"/>
        <v/>
      </c>
      <c r="O38" s="12" t="str">
        <f t="shared" si="7"/>
        <v/>
      </c>
    </row>
    <row r="39" spans="1:15">
      <c r="A39" s="5" t="s">
        <v>570</v>
      </c>
      <c r="B39" s="5" t="s">
        <v>552</v>
      </c>
      <c r="C39" s="5" t="s">
        <v>571</v>
      </c>
      <c r="D39" s="10">
        <v>17</v>
      </c>
      <c r="E39" s="5" t="s">
        <v>543</v>
      </c>
      <c r="F39" s="7">
        <v>1000000</v>
      </c>
      <c r="G39" s="8"/>
      <c r="H39" s="8"/>
      <c r="I39" s="8"/>
      <c r="J39" s="11"/>
      <c r="K39" s="6"/>
      <c r="L39" s="12" t="str">
        <f t="shared" si="4"/>
        <v/>
      </c>
      <c r="M39" s="12" t="str">
        <f t="shared" si="5"/>
        <v/>
      </c>
      <c r="N39" s="12" t="str">
        <f t="shared" si="6"/>
        <v/>
      </c>
      <c r="O39" s="12" t="str">
        <f t="shared" si="7"/>
        <v/>
      </c>
    </row>
    <row r="40" spans="1:15">
      <c r="A40" s="5" t="s">
        <v>572</v>
      </c>
      <c r="B40" s="5" t="s">
        <v>552</v>
      </c>
      <c r="C40" s="5" t="s">
        <v>573</v>
      </c>
      <c r="D40" s="10">
        <v>1300</v>
      </c>
      <c r="E40" s="5" t="s">
        <v>574</v>
      </c>
      <c r="F40" s="7">
        <v>8000</v>
      </c>
      <c r="G40" s="8"/>
      <c r="H40" s="8"/>
      <c r="I40" s="8"/>
      <c r="J40" s="11"/>
      <c r="K40" s="6"/>
      <c r="L40" s="12" t="str">
        <f t="shared" si="4"/>
        <v/>
      </c>
      <c r="M40" s="12" t="str">
        <f t="shared" si="5"/>
        <v/>
      </c>
      <c r="N40" s="12" t="str">
        <f t="shared" si="6"/>
        <v/>
      </c>
      <c r="O40" s="12" t="str">
        <f t="shared" si="7"/>
        <v/>
      </c>
    </row>
    <row r="41" spans="1:15">
      <c r="A41" s="5" t="s">
        <v>575</v>
      </c>
      <c r="B41" s="5" t="s">
        <v>552</v>
      </c>
      <c r="C41" s="5" t="s">
        <v>576</v>
      </c>
      <c r="D41" s="10">
        <v>6240</v>
      </c>
      <c r="E41" s="5" t="s">
        <v>54</v>
      </c>
      <c r="F41" s="7">
        <v>12000</v>
      </c>
      <c r="G41" s="8"/>
      <c r="H41" s="8"/>
      <c r="I41" s="8"/>
      <c r="J41" s="11"/>
      <c r="K41" s="6"/>
      <c r="L41" s="12" t="str">
        <f t="shared" si="4"/>
        <v/>
      </c>
      <c r="M41" s="12" t="str">
        <f t="shared" si="5"/>
        <v/>
      </c>
      <c r="N41" s="12" t="str">
        <f t="shared" si="6"/>
        <v/>
      </c>
      <c r="O41" s="12" t="str">
        <f t="shared" si="7"/>
        <v/>
      </c>
    </row>
    <row r="42" spans="1:15">
      <c r="A42" s="5" t="s">
        <v>577</v>
      </c>
      <c r="B42" s="5" t="s">
        <v>552</v>
      </c>
      <c r="C42" s="5" t="s">
        <v>578</v>
      </c>
      <c r="D42" s="10">
        <v>17</v>
      </c>
      <c r="E42" s="5" t="s">
        <v>543</v>
      </c>
      <c r="F42" s="7">
        <v>1000000</v>
      </c>
      <c r="G42" s="8"/>
      <c r="H42" s="8"/>
      <c r="I42" s="8"/>
      <c r="J42" s="11"/>
      <c r="K42" s="6"/>
      <c r="L42" s="12" t="str">
        <f t="shared" si="4"/>
        <v/>
      </c>
      <c r="M42" s="12" t="str">
        <f t="shared" si="5"/>
        <v/>
      </c>
      <c r="N42" s="12" t="str">
        <f t="shared" si="6"/>
        <v/>
      </c>
      <c r="O42" s="12" t="str">
        <f t="shared" si="7"/>
        <v/>
      </c>
    </row>
    <row r="43" spans="1:15">
      <c r="A43" s="5" t="s">
        <v>579</v>
      </c>
      <c r="B43" s="5" t="s">
        <v>552</v>
      </c>
      <c r="C43" s="5" t="s">
        <v>580</v>
      </c>
      <c r="D43" s="10">
        <v>800</v>
      </c>
      <c r="E43" s="5" t="s">
        <v>54</v>
      </c>
      <c r="F43" s="7">
        <v>33000</v>
      </c>
      <c r="G43" s="8"/>
      <c r="H43" s="8"/>
      <c r="I43" s="8"/>
      <c r="J43" s="11"/>
      <c r="K43" s="6"/>
      <c r="L43" s="12" t="str">
        <f t="shared" si="4"/>
        <v/>
      </c>
      <c r="M43" s="12" t="str">
        <f t="shared" si="5"/>
        <v/>
      </c>
      <c r="N43" s="12" t="str">
        <f t="shared" si="6"/>
        <v/>
      </c>
      <c r="O43" s="12" t="str">
        <f t="shared" si="7"/>
        <v/>
      </c>
    </row>
    <row r="44" spans="1:15">
      <c r="A44" s="5" t="s">
        <v>581</v>
      </c>
      <c r="B44" s="5" t="s">
        <v>582</v>
      </c>
      <c r="C44" s="5" t="s">
        <v>583</v>
      </c>
      <c r="D44" s="10">
        <v>660</v>
      </c>
      <c r="E44" s="5" t="s">
        <v>54</v>
      </c>
      <c r="F44" s="7">
        <v>20000</v>
      </c>
      <c r="G44" s="8"/>
      <c r="H44" s="8"/>
      <c r="I44" s="8"/>
      <c r="J44" s="11"/>
      <c r="K44" s="6"/>
      <c r="L44" s="12" t="str">
        <f t="shared" si="4"/>
        <v/>
      </c>
      <c r="M44" s="12" t="str">
        <f t="shared" si="5"/>
        <v/>
      </c>
      <c r="N44" s="12" t="str">
        <f t="shared" si="6"/>
        <v/>
      </c>
      <c r="O44" s="12" t="str">
        <f t="shared" si="7"/>
        <v/>
      </c>
    </row>
    <row r="45" spans="1:15">
      <c r="A45" s="5" t="s">
        <v>584</v>
      </c>
      <c r="B45" s="5" t="s">
        <v>582</v>
      </c>
      <c r="C45" s="5" t="s">
        <v>585</v>
      </c>
      <c r="D45" s="10">
        <v>750</v>
      </c>
      <c r="E45" s="5" t="s">
        <v>54</v>
      </c>
      <c r="F45" s="7">
        <v>10000</v>
      </c>
      <c r="G45" s="8"/>
      <c r="H45" s="8"/>
      <c r="I45" s="8"/>
      <c r="J45" s="11"/>
      <c r="K45" s="6"/>
      <c r="L45" s="12" t="str">
        <f t="shared" si="4"/>
        <v/>
      </c>
      <c r="M45" s="12" t="str">
        <f t="shared" si="5"/>
        <v/>
      </c>
      <c r="N45" s="12" t="str">
        <f t="shared" si="6"/>
        <v/>
      </c>
      <c r="O45" s="12" t="str">
        <f t="shared" si="7"/>
        <v/>
      </c>
    </row>
    <row r="46" spans="1:15">
      <c r="A46" s="5" t="s">
        <v>586</v>
      </c>
      <c r="B46" s="5" t="s">
        <v>582</v>
      </c>
      <c r="C46" s="5" t="s">
        <v>587</v>
      </c>
      <c r="D46" s="10">
        <v>450</v>
      </c>
      <c r="E46" s="5" t="s">
        <v>54</v>
      </c>
      <c r="F46" s="7">
        <v>36000</v>
      </c>
      <c r="G46" s="8"/>
      <c r="H46" s="8"/>
      <c r="I46" s="8"/>
      <c r="J46" s="11"/>
      <c r="K46" s="6"/>
      <c r="L46" s="12" t="str">
        <f t="shared" si="4"/>
        <v/>
      </c>
      <c r="M46" s="12" t="str">
        <f t="shared" si="5"/>
        <v/>
      </c>
      <c r="N46" s="12" t="str">
        <f t="shared" si="6"/>
        <v/>
      </c>
      <c r="O46" s="12" t="str">
        <f t="shared" si="7"/>
        <v/>
      </c>
    </row>
    <row r="47" spans="1:15">
      <c r="A47" s="5" t="s">
        <v>588</v>
      </c>
      <c r="B47" s="5" t="s">
        <v>582</v>
      </c>
      <c r="C47" s="5" t="s">
        <v>589</v>
      </c>
      <c r="D47" s="10">
        <v>780</v>
      </c>
      <c r="E47" s="5" t="s">
        <v>54</v>
      </c>
      <c r="F47" s="7">
        <v>18000</v>
      </c>
      <c r="G47" s="8"/>
      <c r="H47" s="8"/>
      <c r="I47" s="8"/>
      <c r="J47" s="11"/>
      <c r="K47" s="6"/>
      <c r="L47" s="12" t="str">
        <f t="shared" si="4"/>
        <v/>
      </c>
      <c r="M47" s="12" t="str">
        <f t="shared" si="5"/>
        <v/>
      </c>
      <c r="N47" s="12" t="str">
        <f t="shared" si="6"/>
        <v/>
      </c>
      <c r="O47" s="12" t="str">
        <f t="shared" si="7"/>
        <v/>
      </c>
    </row>
    <row r="48" spans="1:15">
      <c r="A48" s="5" t="s">
        <v>590</v>
      </c>
      <c r="B48" s="5" t="s">
        <v>582</v>
      </c>
      <c r="C48" s="5" t="s">
        <v>591</v>
      </c>
      <c r="D48" s="10">
        <v>2000</v>
      </c>
      <c r="E48" s="5" t="s">
        <v>54</v>
      </c>
      <c r="F48" s="7">
        <v>25000</v>
      </c>
      <c r="G48" s="8"/>
      <c r="H48" s="8"/>
      <c r="I48" s="8"/>
      <c r="J48" s="11"/>
      <c r="K48" s="6"/>
      <c r="L48" s="12" t="str">
        <f t="shared" si="4"/>
        <v/>
      </c>
      <c r="M48" s="12" t="str">
        <f t="shared" si="5"/>
        <v/>
      </c>
      <c r="N48" s="12" t="str">
        <f t="shared" si="6"/>
        <v/>
      </c>
      <c r="O48" s="12" t="str">
        <f t="shared" si="7"/>
        <v/>
      </c>
    </row>
    <row r="49" spans="1:15">
      <c r="A49" s="5" t="s">
        <v>592</v>
      </c>
      <c r="B49" s="5" t="s">
        <v>582</v>
      </c>
      <c r="C49" s="5" t="s">
        <v>593</v>
      </c>
      <c r="D49" s="10">
        <v>2000</v>
      </c>
      <c r="E49" s="5" t="s">
        <v>54</v>
      </c>
      <c r="F49" s="7">
        <v>1500</v>
      </c>
      <c r="G49" s="8"/>
      <c r="H49" s="8"/>
      <c r="I49" s="8"/>
      <c r="J49" s="11"/>
      <c r="K49" s="6"/>
      <c r="L49" s="12" t="str">
        <f t="shared" si="4"/>
        <v/>
      </c>
      <c r="M49" s="12" t="str">
        <f t="shared" si="5"/>
        <v/>
      </c>
      <c r="N49" s="12" t="str">
        <f t="shared" si="6"/>
        <v/>
      </c>
      <c r="O49" s="12" t="str">
        <f t="shared" si="7"/>
        <v/>
      </c>
    </row>
    <row r="50" spans="1:15">
      <c r="A50" s="5" t="s">
        <v>594</v>
      </c>
      <c r="B50" s="5" t="s">
        <v>582</v>
      </c>
      <c r="C50" s="5" t="s">
        <v>595</v>
      </c>
      <c r="D50" s="10">
        <v>2000</v>
      </c>
      <c r="E50" s="5" t="s">
        <v>54</v>
      </c>
      <c r="F50" s="7">
        <v>15000</v>
      </c>
      <c r="G50" s="8"/>
      <c r="H50" s="8"/>
      <c r="I50" s="8"/>
      <c r="J50" s="11"/>
      <c r="K50" s="6"/>
      <c r="L50" s="12" t="str">
        <f t="shared" si="4"/>
        <v/>
      </c>
      <c r="M50" s="12" t="str">
        <f t="shared" si="5"/>
        <v/>
      </c>
      <c r="N50" s="12" t="str">
        <f t="shared" si="6"/>
        <v/>
      </c>
      <c r="O50" s="12" t="str">
        <f t="shared" si="7"/>
        <v/>
      </c>
    </row>
    <row r="51" spans="1:15">
      <c r="A51" s="5" t="s">
        <v>596</v>
      </c>
      <c r="B51" s="5" t="s">
        <v>582</v>
      </c>
      <c r="C51" s="5" t="s">
        <v>597</v>
      </c>
      <c r="D51" s="10">
        <v>650</v>
      </c>
      <c r="E51" s="5" t="s">
        <v>54</v>
      </c>
      <c r="F51" s="7">
        <v>15000</v>
      </c>
      <c r="G51" s="8"/>
      <c r="H51" s="8"/>
      <c r="I51" s="8"/>
      <c r="J51" s="11"/>
      <c r="K51" s="6"/>
      <c r="L51" s="12" t="str">
        <f t="shared" si="4"/>
        <v/>
      </c>
      <c r="M51" s="12" t="str">
        <f t="shared" si="5"/>
        <v/>
      </c>
      <c r="N51" s="12" t="str">
        <f t="shared" si="6"/>
        <v/>
      </c>
      <c r="O51" s="12" t="str">
        <f t="shared" si="7"/>
        <v/>
      </c>
    </row>
    <row r="52" spans="1:15">
      <c r="A52" s="5" t="s">
        <v>598</v>
      </c>
      <c r="B52" s="5" t="s">
        <v>582</v>
      </c>
      <c r="C52" s="5" t="s">
        <v>599</v>
      </c>
      <c r="D52" s="10">
        <v>13200</v>
      </c>
      <c r="E52" s="5" t="s">
        <v>54</v>
      </c>
      <c r="F52" s="7">
        <v>7000</v>
      </c>
      <c r="G52" s="8"/>
      <c r="H52" s="8"/>
      <c r="I52" s="8"/>
      <c r="J52" s="11"/>
      <c r="K52" s="6"/>
      <c r="L52" s="12" t="str">
        <f t="shared" si="4"/>
        <v/>
      </c>
      <c r="M52" s="12" t="str">
        <f t="shared" si="5"/>
        <v/>
      </c>
      <c r="N52" s="12" t="str">
        <f t="shared" si="6"/>
        <v/>
      </c>
      <c r="O52" s="12" t="str">
        <f t="shared" si="7"/>
        <v/>
      </c>
    </row>
    <row r="53" spans="1:15">
      <c r="A53" s="5" t="s">
        <v>600</v>
      </c>
      <c r="B53" s="5" t="s">
        <v>582</v>
      </c>
      <c r="C53" s="5" t="s">
        <v>601</v>
      </c>
      <c r="D53" s="10">
        <v>6800</v>
      </c>
      <c r="E53" s="5" t="s">
        <v>54</v>
      </c>
      <c r="F53" s="7">
        <v>2000</v>
      </c>
      <c r="G53" s="8"/>
      <c r="H53" s="8"/>
      <c r="I53" s="8"/>
      <c r="J53" s="11"/>
      <c r="K53" s="6"/>
      <c r="L53" s="12" t="str">
        <f t="shared" si="4"/>
        <v/>
      </c>
      <c r="M53" s="12" t="str">
        <f t="shared" si="5"/>
        <v/>
      </c>
      <c r="N53" s="12" t="str">
        <f t="shared" si="6"/>
        <v/>
      </c>
      <c r="O53" s="12" t="str">
        <f t="shared" si="7"/>
        <v/>
      </c>
    </row>
    <row r="54" spans="1:15">
      <c r="A54" s="5" t="s">
        <v>602</v>
      </c>
      <c r="B54" s="5" t="s">
        <v>582</v>
      </c>
      <c r="C54" s="5" t="s">
        <v>603</v>
      </c>
      <c r="D54" s="10">
        <v>4800</v>
      </c>
      <c r="E54" s="5" t="s">
        <v>54</v>
      </c>
      <c r="F54" s="7">
        <v>10000</v>
      </c>
      <c r="G54" s="8"/>
      <c r="H54" s="8"/>
      <c r="I54" s="8"/>
      <c r="J54" s="11"/>
      <c r="K54" s="6"/>
      <c r="L54" s="12" t="str">
        <f t="shared" si="4"/>
        <v/>
      </c>
      <c r="M54" s="12" t="str">
        <f t="shared" si="5"/>
        <v/>
      </c>
      <c r="N54" s="12" t="str">
        <f t="shared" si="6"/>
        <v/>
      </c>
      <c r="O54" s="12" t="str">
        <f t="shared" si="7"/>
        <v/>
      </c>
    </row>
    <row r="55" spans="1:15">
      <c r="A55" s="5" t="s">
        <v>604</v>
      </c>
      <c r="B55" s="5" t="s">
        <v>582</v>
      </c>
      <c r="C55" s="5" t="s">
        <v>605</v>
      </c>
      <c r="D55" s="10">
        <v>6800</v>
      </c>
      <c r="E55" s="5" t="s">
        <v>54</v>
      </c>
      <c r="F55" s="7">
        <v>7000</v>
      </c>
      <c r="G55" s="8"/>
      <c r="H55" s="8"/>
      <c r="I55" s="8"/>
      <c r="J55" s="11"/>
      <c r="K55" s="6"/>
      <c r="L55" s="12" t="str">
        <f t="shared" si="4"/>
        <v/>
      </c>
      <c r="M55" s="12" t="str">
        <f t="shared" si="5"/>
        <v/>
      </c>
      <c r="N55" s="12" t="str">
        <f t="shared" si="6"/>
        <v/>
      </c>
      <c r="O55" s="12" t="str">
        <f t="shared" si="7"/>
        <v/>
      </c>
    </row>
    <row r="56" spans="1:15">
      <c r="A56" s="5" t="s">
        <v>606</v>
      </c>
      <c r="B56" s="5" t="s">
        <v>582</v>
      </c>
      <c r="C56" s="5" t="s">
        <v>607</v>
      </c>
      <c r="D56" s="10">
        <v>6800</v>
      </c>
      <c r="E56" s="5" t="s">
        <v>54</v>
      </c>
      <c r="F56" s="7">
        <v>5000</v>
      </c>
      <c r="G56" s="8"/>
      <c r="H56" s="8"/>
      <c r="I56" s="8"/>
      <c r="J56" s="11"/>
      <c r="K56" s="6"/>
      <c r="L56" s="12" t="str">
        <f t="shared" si="4"/>
        <v/>
      </c>
      <c r="M56" s="12" t="str">
        <f t="shared" si="5"/>
        <v/>
      </c>
      <c r="N56" s="12" t="str">
        <f t="shared" si="6"/>
        <v/>
      </c>
      <c r="O56" s="12" t="str">
        <f t="shared" si="7"/>
        <v/>
      </c>
    </row>
    <row r="57" spans="1:15">
      <c r="A57" s="5" t="s">
        <v>608</v>
      </c>
      <c r="B57" s="5" t="s">
        <v>582</v>
      </c>
      <c r="C57" s="5" t="s">
        <v>609</v>
      </c>
      <c r="D57" s="10">
        <v>18200</v>
      </c>
      <c r="E57" s="5" t="s">
        <v>54</v>
      </c>
      <c r="F57" s="7">
        <v>2000</v>
      </c>
      <c r="G57" s="8"/>
      <c r="H57" s="8"/>
      <c r="I57" s="8"/>
      <c r="J57" s="11"/>
      <c r="K57" s="6"/>
      <c r="L57" s="12" t="str">
        <f t="shared" si="4"/>
        <v/>
      </c>
      <c r="M57" s="12" t="str">
        <f t="shared" si="5"/>
        <v/>
      </c>
      <c r="N57" s="12" t="str">
        <f t="shared" si="6"/>
        <v/>
      </c>
      <c r="O57" s="12" t="str">
        <f t="shared" si="7"/>
        <v/>
      </c>
    </row>
    <row r="58" spans="1:15">
      <c r="A58" s="5" t="s">
        <v>610</v>
      </c>
      <c r="B58" s="5" t="s">
        <v>611</v>
      </c>
      <c r="C58" s="5" t="s">
        <v>612</v>
      </c>
      <c r="D58" s="10">
        <v>90</v>
      </c>
      <c r="E58" s="5" t="s">
        <v>50</v>
      </c>
      <c r="F58" s="7">
        <v>22000</v>
      </c>
      <c r="G58" s="8"/>
      <c r="H58" s="8"/>
      <c r="I58" s="8"/>
      <c r="J58" s="11"/>
      <c r="K58" s="6"/>
      <c r="L58" s="12" t="str">
        <f t="shared" si="4"/>
        <v/>
      </c>
      <c r="M58" s="12" t="str">
        <f t="shared" si="5"/>
        <v/>
      </c>
      <c r="N58" s="12" t="str">
        <f t="shared" si="6"/>
        <v/>
      </c>
      <c r="O58" s="12" t="str">
        <f t="shared" si="7"/>
        <v/>
      </c>
    </row>
    <row r="59" spans="1:15">
      <c r="A59" s="5" t="s">
        <v>613</v>
      </c>
      <c r="B59" s="5" t="s">
        <v>611</v>
      </c>
      <c r="C59" s="5" t="s">
        <v>614</v>
      </c>
      <c r="D59" s="10">
        <v>90</v>
      </c>
      <c r="E59" s="5" t="s">
        <v>50</v>
      </c>
      <c r="F59" s="7">
        <v>60000</v>
      </c>
      <c r="G59" s="8"/>
      <c r="H59" s="8"/>
      <c r="I59" s="8"/>
      <c r="J59" s="11"/>
      <c r="K59" s="6"/>
      <c r="L59" s="12" t="str">
        <f t="shared" si="4"/>
        <v/>
      </c>
      <c r="M59" s="12" t="str">
        <f t="shared" si="5"/>
        <v/>
      </c>
      <c r="N59" s="12" t="str">
        <f t="shared" si="6"/>
        <v/>
      </c>
      <c r="O59" s="12" t="str">
        <f t="shared" si="7"/>
        <v/>
      </c>
    </row>
    <row r="60" spans="1:15">
      <c r="A60" s="5" t="s">
        <v>615</v>
      </c>
      <c r="B60" s="5" t="s">
        <v>611</v>
      </c>
      <c r="C60" s="5" t="s">
        <v>616</v>
      </c>
      <c r="D60" s="10">
        <v>16</v>
      </c>
      <c r="E60" s="5" t="s">
        <v>543</v>
      </c>
      <c r="F60" s="7">
        <v>250000</v>
      </c>
      <c r="G60" s="8"/>
      <c r="H60" s="8"/>
      <c r="I60" s="8"/>
      <c r="J60" s="11"/>
      <c r="K60" s="6"/>
      <c r="L60" s="12" t="str">
        <f t="shared" si="4"/>
        <v/>
      </c>
      <c r="M60" s="12" t="str">
        <f t="shared" si="5"/>
        <v/>
      </c>
      <c r="N60" s="12" t="str">
        <f t="shared" si="6"/>
        <v/>
      </c>
      <c r="O60" s="12" t="str">
        <f t="shared" si="7"/>
        <v/>
      </c>
    </row>
    <row r="61" spans="1:15">
      <c r="A61" s="5" t="s">
        <v>617</v>
      </c>
      <c r="B61" s="5" t="s">
        <v>611</v>
      </c>
      <c r="C61" s="5" t="s">
        <v>618</v>
      </c>
      <c r="D61" s="10">
        <v>2000</v>
      </c>
      <c r="E61" s="5" t="s">
        <v>574</v>
      </c>
      <c r="F61" s="7">
        <v>3500</v>
      </c>
      <c r="G61" s="8"/>
      <c r="H61" s="8"/>
      <c r="I61" s="8"/>
      <c r="J61" s="11"/>
      <c r="K61" s="6"/>
      <c r="L61" s="12" t="str">
        <f t="shared" si="4"/>
        <v/>
      </c>
      <c r="M61" s="12" t="str">
        <f t="shared" si="5"/>
        <v/>
      </c>
      <c r="N61" s="12" t="str">
        <f t="shared" si="6"/>
        <v/>
      </c>
      <c r="O61" s="12" t="str">
        <f t="shared" si="7"/>
        <v/>
      </c>
    </row>
    <row r="62" spans="1:15">
      <c r="A62" s="5" t="s">
        <v>619</v>
      </c>
      <c r="B62" s="5" t="s">
        <v>611</v>
      </c>
      <c r="C62" s="5" t="s">
        <v>620</v>
      </c>
      <c r="D62" s="10">
        <v>34</v>
      </c>
      <c r="E62" s="5" t="s">
        <v>50</v>
      </c>
      <c r="F62" s="7">
        <v>120000</v>
      </c>
      <c r="G62" s="8"/>
      <c r="H62" s="8"/>
      <c r="I62" s="8"/>
      <c r="J62" s="11"/>
      <c r="K62" s="6"/>
      <c r="L62" s="12" t="str">
        <f t="shared" si="4"/>
        <v/>
      </c>
      <c r="M62" s="12" t="str">
        <f t="shared" si="5"/>
        <v/>
      </c>
      <c r="N62" s="12" t="str">
        <f t="shared" si="6"/>
        <v/>
      </c>
      <c r="O62" s="12" t="str">
        <f t="shared" si="7"/>
        <v/>
      </c>
    </row>
    <row r="63" spans="1:15">
      <c r="A63" s="5" t="s">
        <v>621</v>
      </c>
      <c r="B63" s="5" t="s">
        <v>611</v>
      </c>
      <c r="C63" s="5" t="s">
        <v>622</v>
      </c>
      <c r="D63" s="10">
        <v>410</v>
      </c>
      <c r="E63" s="5" t="s">
        <v>50</v>
      </c>
      <c r="F63" s="7">
        <v>22000</v>
      </c>
      <c r="G63" s="8"/>
      <c r="H63" s="8"/>
      <c r="I63" s="8"/>
      <c r="J63" s="11"/>
      <c r="K63" s="6"/>
      <c r="L63" s="12" t="str">
        <f t="shared" si="4"/>
        <v/>
      </c>
      <c r="M63" s="12" t="str">
        <f t="shared" si="5"/>
        <v/>
      </c>
      <c r="N63" s="12" t="str">
        <f t="shared" si="6"/>
        <v/>
      </c>
      <c r="O63" s="12" t="str">
        <f t="shared" si="7"/>
        <v/>
      </c>
    </row>
    <row r="64" spans="1:15">
      <c r="A64" s="5" t="s">
        <v>623</v>
      </c>
      <c r="B64" s="5" t="s">
        <v>611</v>
      </c>
      <c r="C64" s="5" t="s">
        <v>624</v>
      </c>
      <c r="D64" s="10">
        <v>760</v>
      </c>
      <c r="E64" s="5" t="s">
        <v>574</v>
      </c>
      <c r="F64" s="7">
        <v>25000</v>
      </c>
      <c r="G64" s="8"/>
      <c r="H64" s="8"/>
      <c r="I64" s="8"/>
      <c r="J64" s="11"/>
      <c r="K64" s="6"/>
      <c r="L64" s="12" t="str">
        <f t="shared" si="4"/>
        <v/>
      </c>
      <c r="M64" s="12" t="str">
        <f t="shared" si="5"/>
        <v/>
      </c>
      <c r="N64" s="12" t="str">
        <f t="shared" si="6"/>
        <v/>
      </c>
      <c r="O64" s="12" t="str">
        <f t="shared" si="7"/>
        <v/>
      </c>
    </row>
    <row r="65" spans="1:15">
      <c r="A65" s="5" t="s">
        <v>625</v>
      </c>
      <c r="B65" s="5" t="s">
        <v>611</v>
      </c>
      <c r="C65" s="5" t="s">
        <v>626</v>
      </c>
      <c r="D65" s="10">
        <v>14</v>
      </c>
      <c r="E65" s="5" t="s">
        <v>543</v>
      </c>
      <c r="F65" s="7">
        <v>500000</v>
      </c>
      <c r="G65" s="8"/>
      <c r="H65" s="8"/>
      <c r="I65" s="8"/>
      <c r="J65" s="11"/>
      <c r="K65" s="6"/>
      <c r="L65" s="12" t="str">
        <f t="shared" si="4"/>
        <v/>
      </c>
      <c r="M65" s="12" t="str">
        <f t="shared" si="5"/>
        <v/>
      </c>
      <c r="N65" s="12" t="str">
        <f t="shared" si="6"/>
        <v/>
      </c>
      <c r="O65" s="12" t="str">
        <f t="shared" si="7"/>
        <v/>
      </c>
    </row>
    <row r="66" spans="1:15">
      <c r="A66" s="5" t="s">
        <v>627</v>
      </c>
      <c r="B66" s="5" t="s">
        <v>628</v>
      </c>
      <c r="C66" s="5" t="s">
        <v>629</v>
      </c>
      <c r="D66" s="10">
        <v>1000</v>
      </c>
      <c r="E66" s="5" t="s">
        <v>54</v>
      </c>
      <c r="F66" s="7">
        <v>20000</v>
      </c>
      <c r="G66" s="8"/>
      <c r="H66" s="8"/>
      <c r="I66" s="8"/>
      <c r="J66" s="11"/>
      <c r="K66" s="6"/>
      <c r="L66" s="12" t="str">
        <f t="shared" si="4"/>
        <v/>
      </c>
      <c r="M66" s="12" t="str">
        <f t="shared" si="5"/>
        <v/>
      </c>
      <c r="N66" s="12" t="str">
        <f t="shared" si="6"/>
        <v/>
      </c>
      <c r="O66" s="12" t="str">
        <f t="shared" si="7"/>
        <v/>
      </c>
    </row>
    <row r="67" spans="1:15">
      <c r="A67" s="5" t="s">
        <v>630</v>
      </c>
      <c r="B67" s="5" t="s">
        <v>628</v>
      </c>
      <c r="C67" s="5" t="s">
        <v>631</v>
      </c>
      <c r="D67" s="10">
        <v>2300</v>
      </c>
      <c r="E67" s="5" t="s">
        <v>54</v>
      </c>
      <c r="F67" s="7">
        <v>24000</v>
      </c>
      <c r="G67" s="8"/>
      <c r="H67" s="8"/>
      <c r="I67" s="8"/>
      <c r="J67" s="11"/>
      <c r="K67" s="6"/>
      <c r="L67" s="12" t="str">
        <f t="shared" si="4"/>
        <v/>
      </c>
      <c r="M67" s="12" t="str">
        <f t="shared" si="5"/>
        <v/>
      </c>
      <c r="N67" s="12" t="str">
        <f t="shared" si="6"/>
        <v/>
      </c>
      <c r="O67" s="12" t="str">
        <f t="shared" si="7"/>
        <v/>
      </c>
    </row>
    <row r="68" spans="1:15">
      <c r="A68" s="5" t="s">
        <v>632</v>
      </c>
      <c r="B68" s="5" t="s">
        <v>628</v>
      </c>
      <c r="C68" s="5" t="s">
        <v>633</v>
      </c>
      <c r="D68" s="10">
        <v>3200</v>
      </c>
      <c r="E68" s="5" t="s">
        <v>54</v>
      </c>
      <c r="F68" s="7">
        <v>8000</v>
      </c>
      <c r="G68" s="8"/>
      <c r="H68" s="8"/>
      <c r="I68" s="8"/>
      <c r="J68" s="11"/>
      <c r="K68" s="6"/>
      <c r="L68" s="12" t="str">
        <f t="shared" si="4"/>
        <v/>
      </c>
      <c r="M68" s="12" t="str">
        <f t="shared" si="5"/>
        <v/>
      </c>
      <c r="N68" s="12" t="str">
        <f t="shared" si="6"/>
        <v/>
      </c>
      <c r="O68" s="12" t="str">
        <f t="shared" si="7"/>
        <v/>
      </c>
    </row>
    <row r="69" spans="1:15">
      <c r="A69" s="5" t="s">
        <v>634</v>
      </c>
      <c r="B69" s="5" t="s">
        <v>628</v>
      </c>
      <c r="C69" s="5" t="s">
        <v>635</v>
      </c>
      <c r="D69" s="10">
        <v>15000</v>
      </c>
      <c r="E69" s="5" t="s">
        <v>54</v>
      </c>
      <c r="F69" s="7">
        <v>7000</v>
      </c>
      <c r="G69" s="8"/>
      <c r="H69" s="8"/>
      <c r="I69" s="8"/>
      <c r="J69" s="11"/>
      <c r="K69" s="6"/>
      <c r="L69" s="12" t="str">
        <f t="shared" si="4"/>
        <v/>
      </c>
      <c r="M69" s="12" t="str">
        <f t="shared" ref="M69:M100" si="8">IF(L69="","",L69+IF(H69="",0,H69)+IF(I69="",0,I69))</f>
        <v/>
      </c>
      <c r="N69" s="12" t="str">
        <f t="shared" ref="N69:N100" si="9">IF(M69="","",M69*IF(J69="",0,J69)/100)</f>
        <v/>
      </c>
      <c r="O69" s="12" t="str">
        <f t="shared" ref="O69:O100" si="10">IF(M69="","",M69+N69)</f>
        <v/>
      </c>
    </row>
    <row r="72" spans="1:15">
      <c r="B72" s="16" t="s">
        <v>636</v>
      </c>
      <c r="C72" s="16" t="s">
        <v>637</v>
      </c>
    </row>
    <row r="73" spans="1:15">
      <c r="B73" s="17" t="s">
        <v>638</v>
      </c>
      <c r="C73" s="17" t="s">
        <v>639</v>
      </c>
    </row>
    <row r="74" spans="1:15" ht="27.6">
      <c r="B74" s="17" t="s">
        <v>640</v>
      </c>
      <c r="C74" s="17" t="s">
        <v>641</v>
      </c>
    </row>
    <row r="75" spans="1:15">
      <c r="B75" s="17" t="s">
        <v>642</v>
      </c>
      <c r="C75" s="17" t="s">
        <v>643</v>
      </c>
    </row>
    <row r="76" spans="1:15">
      <c r="B76" s="17" t="s">
        <v>644</v>
      </c>
      <c r="C76" s="17" t="s">
        <v>645</v>
      </c>
    </row>
    <row r="77" spans="1:15">
      <c r="B77" s="17" t="s">
        <v>646</v>
      </c>
      <c r="C77" s="17" t="s">
        <v>647</v>
      </c>
    </row>
    <row r="78" spans="1:15" ht="27.6">
      <c r="B78" s="17" t="s">
        <v>648</v>
      </c>
      <c r="C78" s="17" t="s">
        <v>649</v>
      </c>
    </row>
    <row r="79" spans="1:15">
      <c r="B79" s="17" t="s">
        <v>650</v>
      </c>
      <c r="C79" s="17" t="s">
        <v>651</v>
      </c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Заавар</vt:lpstr>
      <vt:lpstr>Материалын үнэ</vt:lpstr>
      <vt:lpstr>Ажил-Тээвэр-Механизм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2026-08-27T04:53:18Z</dcterms:modified>
</cp:coreProperties>
</file>